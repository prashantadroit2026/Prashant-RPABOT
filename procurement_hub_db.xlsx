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README" sheetId="1" state="visible" r:id="rId3"/>
    <sheet name="items" sheetId="2" state="visible" r:id="rId4"/>
    <sheet name="machines" sheetId="3" state="visible" r:id="rId5"/>
    <sheet name="slips" sheetId="4" state="visible" r:id="rId6"/>
    <sheet name="movements" sheetId="5" state="visible" r:id="rId7"/>
    <sheet name="bots" sheetId="6" state="visible" r:id="rId8"/>
    <sheet name="bot_runs" sheetId="7" state="visible" r:id="rId9"/>
    <sheet name="alerts" sheetId="8" state="visible" r:id="rId10"/>
    <sheet name="audit_logs" sheetId="9" state="visible" r:id="rId11"/>
    <sheet name="Computed Views" sheetId="10" state="visible" r:id="rId12"/>
    <sheet name="ER Diagram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<sst xmlns="http://schemas.openxmlformats.org/spreadsheetml/2006/main" count="531" uniqueCount="252">
  <si>
    <t xml:space="preserve">Procurement Hub &amp; Bot Dashboard</t>
  </si>
  <si>
    <t xml:space="preserve">Sheet</t>
  </si>
  <si>
    <t xml:space="preserve">Table</t>
  </si>
  <si>
    <t xml:space="preserve">Migration</t>
  </si>
  <si>
    <t xml:space="preserve">Purpose</t>
  </si>
  <si>
    <t xml:space="preserve">items</t>
  </si>
  <si>
    <t xml:space="preserve">0002_plant.sql</t>
  </si>
  <si>
    <t xml:space="preserve">Master of stocked spares</t>
  </si>
  <si>
    <t xml:space="preserve">machines</t>
  </si>
  <si>
    <t xml:space="preserve">Plant machines</t>
  </si>
  <si>
    <t xml:space="preserve">slips</t>
  </si>
  <si>
    <t xml:space="preserve">Digital requisition slips</t>
  </si>
  <si>
    <t xml:space="preserve">movements</t>
  </si>
  <si>
    <t xml:space="preserve">Immutable stock ledger</t>
  </si>
  <si>
    <t xml:space="preserve">bots</t>
  </si>
  <si>
    <t xml:space="preserve">0003_bot_dashboard.sql</t>
  </si>
  <si>
    <t xml:space="preserve">RPA bot definitions</t>
  </si>
  <si>
    <t xml:space="preserve">bot_runs</t>
  </si>
  <si>
    <t xml:space="preserve">Bot execution history</t>
  </si>
  <si>
    <t xml:space="preserve">alerts</t>
  </si>
  <si>
    <t xml:space="preserve">Low-stock / bot alerts</t>
  </si>
  <si>
    <t xml:space="preserve">audit_logs</t>
  </si>
  <si>
    <t xml:space="preserve">Append-only audit trail</t>
  </si>
  <si>
    <t xml:space="preserve">ER Diagram</t>
  </si>
  <si>
    <t xml:space="preserve">-</t>
  </si>
  <si>
    <t xml:space="preserve">Visual relationship map</t>
  </si>
  <si>
    <t xml:space="preserve">Computed Views</t>
  </si>
  <si>
    <t xml:space="preserve">SQL views</t>
  </si>
  <si>
    <t xml:space="preserve">InventoryRow / MachineStat / Refill Dashboard logic</t>
  </si>
  <si>
    <t xml:space="preserve">Conventions:</t>
  </si>
  <si>
    <t xml:space="preserve">- All tables are UNOWNED (no user_id) — one shared plant, unless auth is enabled.</t>
  </si>
  <si>
    <t xml:space="preserve">- movements.qty: negative = issue, positive = receive.</t>
  </si>
  <si>
    <t xml:space="preserve">- snake_case in SQL, camelCase in TS mappers.</t>
  </si>
  <si>
    <t xml:space="preserve">- Indexes exist on every FK + status + time column (see each sheet's Indexes note).</t>
  </si>
  <si>
    <t xml:space="preserve">- Legend: blue-header cols = Primary Key, orange-header cols = Foreign Key, green = computed/view-only.</t>
  </si>
  <si>
    <t xml:space="preserve">items — master of stocked spares</t>
  </si>
  <si>
    <t xml:space="preserve">migrations/0002_plant.sql  |  Index: code UNIQUE</t>
  </si>
  <si>
    <t xml:space="preserve">id (PK)</t>
  </si>
  <si>
    <t xml:space="preserve">code</t>
  </si>
  <si>
    <t xml:space="preserve">name</t>
  </si>
  <si>
    <t xml:space="preserve">uom</t>
  </si>
  <si>
    <t xml:space="preserve">reorder_level</t>
  </si>
  <si>
    <t xml:space="preserve">qty</t>
  </si>
  <si>
    <t xml:space="preserve">created_at</t>
  </si>
  <si>
    <t xml:space="preserve">low_stock? (qty&lt;=reorder_level)</t>
  </si>
  <si>
    <t xml:space="preserve">HYD-040</t>
  </si>
  <si>
    <t xml:space="preserve">Hydraulic Oil ISO 68</t>
  </si>
  <si>
    <t xml:space="preserve">Ltr</t>
  </si>
  <si>
    <t xml:space="preserve">BRG-6205</t>
  </si>
  <si>
    <t xml:space="preserve">Ball Bearing 6205-2RS</t>
  </si>
  <si>
    <t xml:space="preserve">Pcs</t>
  </si>
  <si>
    <t xml:space="preserve">BLT-A42</t>
  </si>
  <si>
    <t xml:space="preserve">V-Belt A42</t>
  </si>
  <si>
    <t xml:space="preserve">WLD-ROD6</t>
  </si>
  <si>
    <t xml:space="preserve">Welding Rod 3.15mm</t>
  </si>
  <si>
    <t xml:space="preserve">Kg</t>
  </si>
  <si>
    <t xml:space="preserve">GRS-EP2</t>
  </si>
  <si>
    <t xml:space="preserve">Grease EP2</t>
  </si>
  <si>
    <t xml:space="preserve">SEAL-25X40</t>
  </si>
  <si>
    <t xml:space="preserve">Oil Seal 25x40x7</t>
  </si>
  <si>
    <t xml:space="preserve">Pair</t>
  </si>
  <si>
    <t xml:space="preserve">FLT-AIR12</t>
  </si>
  <si>
    <t xml:space="preserve">Air Filter Cartridge</t>
  </si>
  <si>
    <t xml:space="preserve">PNT-EP1</t>
  </si>
  <si>
    <t xml:space="preserve">Epoxy Paint White</t>
  </si>
  <si>
    <t xml:space="preserve">NUT-M12</t>
  </si>
  <si>
    <t xml:space="preserve">Hex Nut M12</t>
  </si>
  <si>
    <t xml:space="preserve">CBL-3C25</t>
  </si>
  <si>
    <t xml:space="preserve">Cable 3C x 2.5 sqmm</t>
  </si>
  <si>
    <t xml:space="preserve">migrations/0002_plant.sql  |  Seed: 6 machines</t>
  </si>
  <si>
    <t xml:space="preserve">line</t>
  </si>
  <si>
    <t xml:space="preserve">CNC-01</t>
  </si>
  <si>
    <t xml:space="preserve">CNC Lathe 01</t>
  </si>
  <si>
    <t xml:space="preserve">Machine shop</t>
  </si>
  <si>
    <t xml:space="preserve">CNC-02</t>
  </si>
  <si>
    <t xml:space="preserve">CNC Lathe 02</t>
  </si>
  <si>
    <t xml:space="preserve">PRS-04</t>
  </si>
  <si>
    <t xml:space="preserve">Power Press 04</t>
  </si>
  <si>
    <t xml:space="preserve">Press bay</t>
  </si>
  <si>
    <t xml:space="preserve">CNV-A</t>
  </si>
  <si>
    <t xml:space="preserve">Conveyor A</t>
  </si>
  <si>
    <t xml:space="preserve">Assembly</t>
  </si>
  <si>
    <t xml:space="preserve">WLD-2</t>
  </si>
  <si>
    <t xml:space="preserve">Welding Station 2</t>
  </si>
  <si>
    <t xml:space="preserve">Fabrication</t>
  </si>
  <si>
    <t xml:space="preserve">CMP-R</t>
  </si>
  <si>
    <t xml:space="preserve">Air Compressor R</t>
  </si>
  <si>
    <t xml:space="preserve">Utility</t>
  </si>
  <si>
    <t xml:space="preserve">slips — digital requisition</t>
  </si>
  <si>
    <t xml:space="preserve">migrations/0002_plant.sql  |  Index: slips_status_idx(status, created_at desc)</t>
  </si>
  <si>
    <t xml:space="preserve">token</t>
  </si>
  <si>
    <t xml:space="preserve">item_id (FK)</t>
  </si>
  <si>
    <t xml:space="preserve">machine_id (FK)</t>
  </si>
  <si>
    <t xml:space="preserve">issued_qty</t>
  </si>
  <si>
    <t xml:space="preserve">department</t>
  </si>
  <si>
    <t xml:space="preserve">station</t>
  </si>
  <si>
    <t xml:space="preserve">hod_title</t>
  </si>
  <si>
    <t xml:space="preserve">hod_confirmed</t>
  </si>
  <si>
    <t xml:space="preserve">slip_date</t>
  </si>
  <si>
    <t xml:space="preserve">status</t>
  </si>
  <si>
    <t xml:space="preserve">note</t>
  </si>
  <si>
    <t xml:space="preserve">decided_at</t>
  </si>
  <si>
    <t xml:space="preserve">SLIP-2607-0001</t>
  </si>
  <si>
    <t xml:space="preserve">Maintenance</t>
  </si>
  <si>
    <t xml:space="preserve">Store</t>
  </si>
  <si>
    <t xml:space="preserve">Maintenance HOD</t>
  </si>
  <si>
    <t xml:space="preserve">issued</t>
  </si>
  <si>
    <t xml:space="preserve">SLIP-2607-0002</t>
  </si>
  <si>
    <t xml:space="preserve">Utility HOD</t>
  </si>
  <si>
    <t xml:space="preserve">pending</t>
  </si>
  <si>
    <t xml:space="preserve">SLIP-2607-0003</t>
  </si>
  <si>
    <t xml:space="preserve">Production</t>
  </si>
  <si>
    <t xml:space="preserve">Lathe cell</t>
  </si>
  <si>
    <t xml:space="preserve">Production HOD</t>
  </si>
  <si>
    <t xml:space="preserve">SLIP-2607-0004</t>
  </si>
  <si>
    <t xml:space="preserve">pr_open</t>
  </si>
  <si>
    <t xml:space="preserve">SLIP-2607-0005</t>
  </si>
  <si>
    <t xml:space="preserve">Quality</t>
  </si>
  <si>
    <t xml:space="preserve">Quality HOD</t>
  </si>
  <si>
    <t xml:space="preserve">SLIP-2607-0006</t>
  </si>
  <si>
    <t xml:space="preserve">SLIP-2607-0007</t>
  </si>
  <si>
    <t xml:space="preserve">SLIP-2607-0008</t>
  </si>
  <si>
    <t xml:space="preserve">SLIP-2607-0009</t>
  </si>
  <si>
    <t xml:space="preserve">SLIP-2607-0010</t>
  </si>
  <si>
    <t xml:space="preserve">SLIP-2608-0011</t>
  </si>
  <si>
    <t xml:space="preserve">SLIP-2608-0012</t>
  </si>
  <si>
    <t xml:space="preserve">received</t>
  </si>
  <si>
    <t xml:space="preserve">movements — immutable ledger</t>
  </si>
  <si>
    <t xml:space="preserve">migrations/0002_plant.sql  |  Negative qty = issue, positive = receive</t>
  </si>
  <si>
    <t xml:space="preserve">slip_id (FK)</t>
  </si>
  <si>
    <t xml:space="preserve">kind</t>
  </si>
  <si>
    <t xml:space="preserve">issue</t>
  </si>
  <si>
    <t xml:space="preserve">receive</t>
  </si>
  <si>
    <t xml:space="preserve">bots — RPA definitions</t>
  </si>
  <si>
    <t xml:space="preserve">migrations/0003_bot_dashboard.sql  |  Seed: 4 bots</t>
  </si>
  <si>
    <t xml:space="preserve">description</t>
  </si>
  <si>
    <t xml:space="preserve">type</t>
  </si>
  <si>
    <t xml:space="preserve">cron_expr</t>
  </si>
  <si>
    <t xml:space="preserve">config (jsonb)</t>
  </si>
  <si>
    <t xml:space="preserve">last_run_at</t>
  </si>
  <si>
    <t xml:space="preserve">next_run_at</t>
  </si>
  <si>
    <t xml:space="preserve">updated_at</t>
  </si>
  <si>
    <t xml:space="preserve">BOT-INV-SYNC</t>
  </si>
  <si>
    <t xml:space="preserve">Inventory Sync</t>
  </si>
  <si>
    <t xml:space="preserve">Syncs item qty from plant floor scans</t>
  </si>
  <si>
    <t xml:space="preserve">inventory</t>
  </si>
  <si>
    <t xml:space="preserve">active</t>
  </si>
  <si>
    <t xml:space="preserve">*/10 * * * *</t>
  </si>
  <si>
    <t xml:space="preserve">{}</t>
  </si>
  <si>
    <t xml:space="preserve">BOT-SLIP-PROC</t>
  </si>
  <si>
    <t xml:space="preserve">Slip Processor</t>
  </si>
  <si>
    <t xml:space="preserve">Auto-decides low-value pending slips</t>
  </si>
  <si>
    <t xml:space="preserve">slip</t>
  </si>
  <si>
    <t xml:space="preserve">*/5 * * * *</t>
  </si>
  <si>
    <t xml:space="preserve">{"auto_approve_max":5}</t>
  </si>
  <si>
    <t xml:space="preserve">BOT-REORDER</t>
  </si>
  <si>
    <t xml:space="preserve">Reorder Watcher</t>
  </si>
  <si>
    <t xml:space="preserve">Raises alerts when qty &lt;= reorder_level</t>
  </si>
  <si>
    <t xml:space="preserve">reorder</t>
  </si>
  <si>
    <t xml:space="preserve">paused</t>
  </si>
  <si>
    <t xml:space="preserve">0 * * * *</t>
  </si>
  <si>
    <t xml:space="preserve">BOT-NIGHTLY</t>
  </si>
  <si>
    <t xml:space="preserve">Nightly Report</t>
  </si>
  <si>
    <t xml:space="preserve">Emails daily consumption summary</t>
  </si>
  <si>
    <t xml:space="preserve">report</t>
  </si>
  <si>
    <t xml:space="preserve">0 22 * * *</t>
  </si>
  <si>
    <t xml:space="preserve">{"recipients":["store@plant"]}</t>
  </si>
  <si>
    <t xml:space="preserve">bot_runs — execution history</t>
  </si>
  <si>
    <t xml:space="preserve">migrations/0003_bot_dashboard.sql  |  Seed: 6x4 = 24 runs over 7 days</t>
  </si>
  <si>
    <t xml:space="preserve">bot_id (FK)</t>
  </si>
  <si>
    <t xml:space="preserve">trigger</t>
  </si>
  <si>
    <t xml:space="preserve">started_at</t>
  </si>
  <si>
    <t xml:space="preserve">finished_at</t>
  </si>
  <si>
    <t xml:space="preserve">duration_ms</t>
  </si>
  <si>
    <t xml:space="preserve">input (jsonb)</t>
  </si>
  <si>
    <t xml:space="preserve">output (jsonb)</t>
  </si>
  <si>
    <t xml:space="preserve">error</t>
  </si>
  <si>
    <t xml:space="preserve">skipped</t>
  </si>
  <si>
    <t xml:space="preserve">webhook</t>
  </si>
  <si>
    <t xml:space="preserve">null</t>
  </si>
  <si>
    <t xml:space="preserve">success</t>
  </si>
  <si>
    <t xml:space="preserve">manual</t>
  </si>
  <si>
    <t xml:space="preserve">schedule</t>
  </si>
  <si>
    <t xml:space="preserve">api</t>
  </si>
  <si>
    <t xml:space="preserve">migrations/0003_bot_dashboard.sql  |  Auto-seeded when qty &lt;= reorder_level</t>
  </si>
  <si>
    <t xml:space="preserve">severity</t>
  </si>
  <si>
    <t xml:space="preserve">title</t>
  </si>
  <si>
    <t xml:space="preserve">message</t>
  </si>
  <si>
    <t xml:space="preserve">bot_id (FK, nullable)</t>
  </si>
  <si>
    <t xml:space="preserve">item_id (FK, nullable)</t>
  </si>
  <si>
    <t xml:space="preserve">acknowledged</t>
  </si>
  <si>
    <t xml:space="preserve">warn</t>
  </si>
  <si>
    <t xml:space="preserve">Low stock: BRG-6205</t>
  </si>
  <si>
    <t xml:space="preserve">Ball Bearing 6205-2RS at or below reorder level</t>
  </si>
  <si>
    <t xml:space="preserve">Low stock: GRS-EP2</t>
  </si>
  <si>
    <t xml:space="preserve">Grease EP2 at or below reorder level</t>
  </si>
  <si>
    <t xml:space="preserve">Low stock: FLT-AIR12</t>
  </si>
  <si>
    <t xml:space="preserve">Air Filter Cartridge at or below reorder level</t>
  </si>
  <si>
    <t xml:space="preserve">Low stock: CBL-3C25</t>
  </si>
  <si>
    <t xml:space="preserve">Cable 3C x 2.5 sqmm at or below reorder level</t>
  </si>
  <si>
    <t xml:space="preserve">critical</t>
  </si>
  <si>
    <t xml:space="preserve">Bot failure</t>
  </si>
  <si>
    <t xml:space="preserve">BOT-NIGHTLY failed: Timeout calling Sheets API</t>
  </si>
  <si>
    <t xml:space="preserve">info</t>
  </si>
  <si>
    <t xml:space="preserve">Reorder Watcher paused</t>
  </si>
  <si>
    <t xml:space="preserve">Reorder Watcher bot is currently paused</t>
  </si>
  <si>
    <t xml:space="preserve">audit_logs — append-only trail</t>
  </si>
  <si>
    <t xml:space="preserve">migrations/0003_bot_dashboard.sql  |  Denormalized, no FK</t>
  </si>
  <si>
    <t xml:space="preserve">actor</t>
  </si>
  <si>
    <t xml:space="preserve">action</t>
  </si>
  <si>
    <t xml:space="preserve">entity_type</t>
  </si>
  <si>
    <t xml:space="preserve">entity_id</t>
  </si>
  <si>
    <t xml:space="preserve">payload (jsonb)</t>
  </si>
  <si>
    <t xml:space="preserve">system</t>
  </si>
  <si>
    <t xml:space="preserve">slip.decide</t>
  </si>
  <si>
    <t xml:space="preserve">3</t>
  </si>
  <si>
    <t xml:space="preserve">{"status":"issued"}</t>
  </si>
  <si>
    <t xml:space="preserve">bot.create</t>
  </si>
  <si>
    <t xml:space="preserve">1</t>
  </si>
  <si>
    <t xml:space="preserve">{"code":"BOT-INV-SYNC"}</t>
  </si>
  <si>
    <t xml:space="preserve">alert.ack</t>
  </si>
  <si>
    <t xml:space="preserve">2</t>
  </si>
  <si>
    <t xml:space="preserve">{"acknowledged":true}</t>
  </si>
  <si>
    <t xml:space="preserve">bot.run</t>
  </si>
  <si>
    <t xml:space="preserve">18</t>
  </si>
  <si>
    <t xml:space="preserve">{"status":"failed"}</t>
  </si>
  <si>
    <t xml:space="preserve">7</t>
  </si>
  <si>
    <t xml:space="preserve">{"status":"partial","issued_qty":6}</t>
  </si>
  <si>
    <t xml:space="preserve">item.update</t>
  </si>
  <si>
    <t xml:space="preserve">{"qty":2}</t>
  </si>
  <si>
    <t xml:space="preserve">Not tables — SQL views, mirrored here with live formulas</t>
  </si>
  <si>
    <t xml:space="preserve">InventoryRow — items + 30d consumption + daysCover</t>
  </si>
  <si>
    <t xml:space="preserve">item_id</t>
  </si>
  <si>
    <t xml:space="preserve">consumed_30d</t>
  </si>
  <si>
    <t xml:space="preserve">daysCover</t>
  </si>
  <si>
    <t xml:space="preserve">MachineStat — per-machine 30d consumption</t>
  </si>
  <si>
    <t xml:space="preserve">machine_id</t>
  </si>
  <si>
    <t xml:space="preserve">movements_count</t>
  </si>
  <si>
    <t xml:space="preserve">Refill Dashboard — consumed30 vs received30, per item</t>
  </si>
  <si>
    <t xml:space="preserve">received_30d</t>
  </si>
  <si>
    <t xml:space="preserve">net</t>
  </si>
  <si>
    <t xml:space="preserve">ER Relationships</t>
  </si>
  <si>
    <t xml:space="preserve">Foreign key map (Mermaid source: see DATABASE.md)</t>
  </si>
  <si>
    <t xml:space="preserve">Parent</t>
  </si>
  <si>
    <t xml:space="preserve">Child</t>
  </si>
  <si>
    <t xml:space="preserve">FK column</t>
  </si>
  <si>
    <t xml:space="preserve">Cardinality / on-delete</t>
  </si>
  <si>
    <t xml:space="preserve">1 → many</t>
  </si>
  <si>
    <t xml:space="preserve">slip_id</t>
  </si>
  <si>
    <t xml:space="preserve">1 → many (SET NULL)</t>
  </si>
  <si>
    <t xml:space="preserve">bot_id</t>
  </si>
  <si>
    <t xml:space="preserve">1 → many (CASCADE)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</si>
</sst>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yyyy\-mm\-dd\ hh:mm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13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22"/>
    <col collapsed="false" customWidth="true" hidden="false" outlineLevel="0" max="4" min="4" style="1" width="4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</row>
    <row r="3" customFormat="false" ht="15" hidden="false" customHeight="true" outlineLevel="0" collapsed="false">
      <c r="A3" s="4" t="s">
        <v>5</v>
      </c>
      <c r="B3" s="4" t="s">
        <v>5</v>
      </c>
      <c r="C3" s="4" t="s">
        <v>6</v>
      </c>
      <c r="D3" s="4" t="s">
        <v>7</v>
      </c>
    </row>
    <row r="4" customFormat="false" ht="15" hidden="false" customHeight="true" outlineLevel="0" collapsed="false">
      <c r="A4" s="4" t="s">
        <v>8</v>
      </c>
      <c r="B4" s="4" t="s">
        <v>8</v>
      </c>
      <c r="C4" s="4" t="s">
        <v>6</v>
      </c>
      <c r="D4" s="4" t="s">
        <v>9</v>
      </c>
    </row>
    <row r="5" customFormat="false" ht="15" hidden="false" customHeight="true" outlineLevel="0" collapsed="false">
      <c r="A5" s="4" t="s">
        <v>10</v>
      </c>
      <c r="B5" s="4" t="s">
        <v>10</v>
      </c>
      <c r="C5" s="4" t="s">
        <v>6</v>
      </c>
      <c r="D5" s="4" t="s">
        <v>11</v>
      </c>
    </row>
    <row r="6" customFormat="false" ht="15" hidden="false" customHeight="true" outlineLevel="0" collapsed="false">
      <c r="A6" s="4" t="s">
        <v>12</v>
      </c>
      <c r="B6" s="4" t="s">
        <v>12</v>
      </c>
      <c r="C6" s="4" t="s">
        <v>6</v>
      </c>
      <c r="D6" s="4" t="s">
        <v>13</v>
      </c>
    </row>
    <row r="7" customFormat="false" ht="15" hidden="false" customHeight="true" outlineLevel="0" collapsed="false">
      <c r="A7" s="4" t="s">
        <v>14</v>
      </c>
      <c r="B7" s="4" t="s">
        <v>14</v>
      </c>
      <c r="C7" s="4" t="s">
        <v>15</v>
      </c>
      <c r="D7" s="4" t="s">
        <v>16</v>
      </c>
    </row>
    <row r="8" customFormat="false" ht="15" hidden="false" customHeight="true" outlineLevel="0" collapsed="false">
      <c r="A8" s="4" t="s">
        <v>17</v>
      </c>
      <c r="B8" s="4" t="s">
        <v>17</v>
      </c>
      <c r="C8" s="4" t="s">
        <v>15</v>
      </c>
      <c r="D8" s="4" t="s">
        <v>18</v>
      </c>
    </row>
    <row r="9" customFormat="false" ht="15" hidden="false" customHeight="true" outlineLevel="0" collapsed="false">
      <c r="A9" s="4" t="s">
        <v>19</v>
      </c>
      <c r="B9" s="4" t="s">
        <v>19</v>
      </c>
      <c r="C9" s="4" t="s">
        <v>15</v>
      </c>
      <c r="D9" s="4" t="s">
        <v>20</v>
      </c>
    </row>
    <row r="10" customFormat="false" ht="15" hidden="false" customHeight="true" outlineLevel="0" collapsed="false">
      <c r="A10" s="4" t="s">
        <v>21</v>
      </c>
      <c r="B10" s="4" t="s">
        <v>21</v>
      </c>
      <c r="C10" s="4" t="s">
        <v>15</v>
      </c>
      <c r="D10" s="4" t="s">
        <v>22</v>
      </c>
    </row>
    <row r="11" customFormat="false" ht="15" hidden="false" customHeight="true" outlineLevel="0" collapsed="false">
      <c r="A11" s="4" t="s">
        <v>23</v>
      </c>
      <c r="B11" s="4" t="s">
        <v>24</v>
      </c>
      <c r="C11" s="4" t="s">
        <v>24</v>
      </c>
      <c r="D11" s="4" t="s">
        <v>25</v>
      </c>
    </row>
    <row r="12" customFormat="false" ht="15" hidden="false" customHeight="true" outlineLevel="0" collapsed="false">
      <c r="A12" s="4" t="s">
        <v>26</v>
      </c>
      <c r="B12" s="4" t="s">
        <v>24</v>
      </c>
      <c r="C12" s="4" t="s">
        <v>27</v>
      </c>
      <c r="D12" s="4" t="s">
        <v>28</v>
      </c>
    </row>
    <row r="15" customFormat="false" ht="15" hidden="false" customHeight="true" outlineLevel="0" collapsed="false">
      <c r="A15" s="5" t="s">
        <v>29</v>
      </c>
    </row>
    <row r="16" customFormat="false" ht="15" hidden="false" customHeight="true" outlineLevel="0" collapsed="false">
      <c r="A16" s="6" t="s">
        <v>30</v>
      </c>
    </row>
    <row r="17" customFormat="false" ht="15" hidden="false" customHeight="true" outlineLevel="0" collapsed="false">
      <c r="A17" s="6" t="s">
        <v>31</v>
      </c>
    </row>
    <row r="18" customFormat="false" ht="15" hidden="false" customHeight="true" outlineLevel="0" collapsed="false">
      <c r="A18" s="6" t="s">
        <v>32</v>
      </c>
    </row>
    <row r="19" customFormat="false" ht="15" hidden="false" customHeight="true" outlineLevel="0" collapsed="false">
      <c r="A19" s="6" t="s">
        <v>33</v>
      </c>
    </row>
    <row r="20" customFormat="false" ht="15" hidden="false" customHeight="true" outlineLevel="0" collapsed="false">
      <c r="A20" s="6" t="s">
        <v>34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4" min="4" style="1" width="8"/>
    <col collapsed="false" customWidth="true" hidden="false" outlineLevel="0" max="5" min="5" style="1" width="14"/>
    <col collapsed="false" customWidth="true" hidden="false" outlineLevel="0" max="6" min="6" style="1" width="8"/>
    <col collapsed="false" customWidth="true" hidden="false" outlineLevel="0" max="7" min="7" style="1" width="14"/>
    <col collapsed="false" customWidth="true" hidden="false" outlineLevel="0" max="9" min="9" style="1" width="26"/>
  </cols>
  <sheetData>
    <row r="1" customFormat="false" ht="17.25" hidden="false" customHeight="true" outlineLevel="0" collapsed="false">
      <c r="A1" s="2" t="s">
        <v>35</v>
      </c>
    </row>
    <row r="2" customFormat="false" ht="15" hidden="false" customHeight="true" outlineLevel="0" collapsed="false">
      <c r="A2" s="7" t="s">
        <v>36</v>
      </c>
    </row>
    <row r="4" customFormat="false" ht="15" hidden="false" customHeight="true" outlineLevel="0" collapsed="false">
      <c r="A4" s="8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I4" s="9" t="s">
        <v>44</v>
      </c>
    </row>
    <row r="5" customFormat="false" ht="15" hidden="false" customHeight="true" outlineLevel="0" collapsed="false">
      <c r="A5" s="10" t="n">
        <v>1</v>
      </c>
      <c r="B5" s="4" t="s">
        <v>45</v>
      </c>
      <c r="C5" s="4" t="s">
        <v>46</v>
      </c>
      <c r="D5" s="4" t="s">
        <v>47</v>
      </c>
      <c r="E5" s="4" t="n">
        <v>40</v>
      </c>
      <c r="F5" s="4" t="n">
        <v>120</v>
      </c>
      <c r="G5" s="11" t="n">
        <v>46205</v>
      </c>
      <c r="I5" s="12" t="str">
        <f aca="false">IF(F5&lt;=E5,"LOW","OK")</f>
        <v>OK</v>
      </c>
    </row>
    <row r="6" customFormat="false" ht="15" hidden="false" customHeight="true" outlineLevel="0" collapsed="false">
      <c r="A6" s="10" t="n">
        <v>2</v>
      </c>
      <c r="B6" s="4" t="s">
        <v>48</v>
      </c>
      <c r="C6" s="4" t="s">
        <v>49</v>
      </c>
      <c r="D6" s="4" t="s">
        <v>50</v>
      </c>
      <c r="E6" s="4" t="n">
        <v>20</v>
      </c>
      <c r="F6" s="4" t="n">
        <v>8</v>
      </c>
      <c r="G6" s="11" t="n">
        <v>46206</v>
      </c>
      <c r="I6" s="12" t="str">
        <f aca="false">IF(F6&lt;=E6,"LOW","OK")</f>
        <v>LOW</v>
      </c>
    </row>
    <row r="7" customFormat="false" ht="15" hidden="false" customHeight="true" outlineLevel="0" collapsed="false">
      <c r="A7" s="10" t="n">
        <v>3</v>
      </c>
      <c r="B7" s="4" t="s">
        <v>51</v>
      </c>
      <c r="C7" s="4" t="s">
        <v>52</v>
      </c>
      <c r="D7" s="4" t="s">
        <v>50</v>
      </c>
      <c r="E7" s="4" t="n">
        <v>10</v>
      </c>
      <c r="F7" s="4" t="n">
        <v>25</v>
      </c>
      <c r="G7" s="11" t="n">
        <v>46207</v>
      </c>
      <c r="I7" s="12" t="str">
        <f aca="false">IF(F7&lt;=E7,"LOW","OK")</f>
        <v>OK</v>
      </c>
    </row>
    <row r="8" customFormat="false" ht="15" hidden="false" customHeight="true" outlineLevel="0" collapsed="false">
      <c r="A8" s="10" t="n">
        <v>4</v>
      </c>
      <c r="B8" s="4" t="s">
        <v>53</v>
      </c>
      <c r="C8" s="4" t="s">
        <v>54</v>
      </c>
      <c r="D8" s="4" t="s">
        <v>55</v>
      </c>
      <c r="E8" s="4" t="n">
        <v>15</v>
      </c>
      <c r="F8" s="4" t="n">
        <v>60</v>
      </c>
      <c r="G8" s="11" t="n">
        <v>46208</v>
      </c>
      <c r="I8" s="12" t="str">
        <f aca="false">IF(F8&lt;=E8,"LOW","OK")</f>
        <v>OK</v>
      </c>
    </row>
    <row r="9" customFormat="false" ht="15" hidden="false" customHeight="true" outlineLevel="0" collapsed="false">
      <c r="A9" s="10" t="n">
        <v>5</v>
      </c>
      <c r="B9" s="4" t="s">
        <v>56</v>
      </c>
      <c r="C9" s="4" t="s">
        <v>57</v>
      </c>
      <c r="D9" s="4" t="s">
        <v>55</v>
      </c>
      <c r="E9" s="4" t="n">
        <v>12</v>
      </c>
      <c r="F9" s="4" t="n">
        <v>5</v>
      </c>
      <c r="G9" s="11" t="n">
        <v>46209</v>
      </c>
      <c r="I9" s="12" t="str">
        <f aca="false">IF(F9&lt;=E9,"LOW","OK")</f>
        <v>LOW</v>
      </c>
    </row>
    <row r="10" customFormat="false" ht="15" hidden="false" customHeight="true" outlineLevel="0" collapsed="false">
      <c r="A10" s="10" t="n">
        <v>6</v>
      </c>
      <c r="B10" s="4" t="s">
        <v>58</v>
      </c>
      <c r="C10" s="4" t="s">
        <v>59</v>
      </c>
      <c r="D10" s="4" t="s">
        <v>60</v>
      </c>
      <c r="E10" s="4" t="n">
        <v>8</v>
      </c>
      <c r="F10" s="4" t="n">
        <v>30</v>
      </c>
      <c r="G10" s="11" t="n">
        <v>46210</v>
      </c>
      <c r="I10" s="12" t="str">
        <f aca="false">IF(F10&lt;=E10,"LOW","OK")</f>
        <v>OK</v>
      </c>
    </row>
    <row r="11" customFormat="false" ht="15" hidden="false" customHeight="true" outlineLevel="0" collapsed="false">
      <c r="A11" s="10" t="n">
        <v>7</v>
      </c>
      <c r="B11" s="4" t="s">
        <v>61</v>
      </c>
      <c r="C11" s="4" t="s">
        <v>62</v>
      </c>
      <c r="D11" s="4" t="s">
        <v>50</v>
      </c>
      <c r="E11" s="4" t="n">
        <v>6</v>
      </c>
      <c r="F11" s="4" t="n">
        <v>2</v>
      </c>
      <c r="G11" s="11" t="n">
        <v>46211</v>
      </c>
      <c r="I11" s="12" t="str">
        <f aca="false">IF(F11&lt;=E11,"LOW","OK")</f>
        <v>LOW</v>
      </c>
    </row>
    <row r="12" customFormat="false" ht="15" hidden="false" customHeight="true" outlineLevel="0" collapsed="false">
      <c r="A12" s="10" t="n">
        <v>8</v>
      </c>
      <c r="B12" s="4" t="s">
        <v>63</v>
      </c>
      <c r="C12" s="4" t="s">
        <v>64</v>
      </c>
      <c r="D12" s="4" t="s">
        <v>47</v>
      </c>
      <c r="E12" s="4" t="n">
        <v>10</v>
      </c>
      <c r="F12" s="4" t="n">
        <v>40</v>
      </c>
      <c r="G12" s="11" t="n">
        <v>46212</v>
      </c>
      <c r="I12" s="12" t="str">
        <f aca="false">IF(F12&lt;=E12,"LOW","OK")</f>
        <v>OK</v>
      </c>
    </row>
    <row r="13" customFormat="false" ht="15" hidden="false" customHeight="true" outlineLevel="0" collapsed="false">
      <c r="A13" s="10" t="n">
        <v>9</v>
      </c>
      <c r="B13" s="4" t="s">
        <v>65</v>
      </c>
      <c r="C13" s="4" t="s">
        <v>66</v>
      </c>
      <c r="D13" s="4" t="s">
        <v>50</v>
      </c>
      <c r="E13" s="4" t="n">
        <v>100</v>
      </c>
      <c r="F13" s="4" t="n">
        <v>480</v>
      </c>
      <c r="G13" s="11" t="n">
        <v>46213</v>
      </c>
      <c r="I13" s="12" t="str">
        <f aca="false">IF(F13&lt;=E13,"LOW","OK")</f>
        <v>OK</v>
      </c>
    </row>
    <row r="14" customFormat="false" ht="15" hidden="false" customHeight="true" outlineLevel="0" collapsed="false">
      <c r="A14" s="10" t="n">
        <v>10</v>
      </c>
      <c r="B14" s="4" t="s">
        <v>67</v>
      </c>
      <c r="C14" s="4" t="s">
        <v>68</v>
      </c>
      <c r="D14" s="4" t="s">
        <v>47</v>
      </c>
      <c r="E14" s="4" t="n">
        <v>50</v>
      </c>
      <c r="F14" s="4" t="n">
        <v>15</v>
      </c>
      <c r="G14" s="11" t="n">
        <v>46214</v>
      </c>
      <c r="I14" s="12" t="str">
        <f aca="false">IF(F14&lt;=E14,"LOW","OK")</f>
        <v>LOW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16"/>
  </cols>
  <sheetData>
    <row r="1" customFormat="false" ht="17.25" hidden="false" customHeight="true" outlineLevel="0" collapsed="false">
      <c r="A1" s="2" t="s">
        <v>8</v>
      </c>
    </row>
    <row r="2" customFormat="false" ht="15" hidden="false" customHeight="true" outlineLevel="0" collapsed="false">
      <c r="A2" s="7" t="s">
        <v>69</v>
      </c>
    </row>
    <row r="4" customFormat="false" ht="15" hidden="false" customHeight="true" outlineLevel="0" collapsed="false">
      <c r="A4" s="13" t="s">
        <v>37</v>
      </c>
      <c r="B4" s="3" t="s">
        <v>38</v>
      </c>
      <c r="C4" s="3" t="s">
        <v>39</v>
      </c>
      <c r="D4" s="3" t="s">
        <v>70</v>
      </c>
    </row>
    <row r="5" customFormat="false" ht="15" hidden="false" customHeight="true" outlineLevel="0" collapsed="false">
      <c r="A5" s="10" t="n">
        <v>1</v>
      </c>
      <c r="B5" s="4" t="s">
        <v>71</v>
      </c>
      <c r="C5" s="4" t="s">
        <v>72</v>
      </c>
      <c r="D5" s="4" t="s">
        <v>73</v>
      </c>
    </row>
    <row r="6" customFormat="false" ht="15" hidden="false" customHeight="true" outlineLevel="0" collapsed="false">
      <c r="A6" s="10" t="n">
        <v>2</v>
      </c>
      <c r="B6" s="4" t="s">
        <v>74</v>
      </c>
      <c r="C6" s="4" t="s">
        <v>75</v>
      </c>
      <c r="D6" s="4" t="s">
        <v>73</v>
      </c>
    </row>
    <row r="7" customFormat="false" ht="15" hidden="false" customHeight="true" outlineLevel="0" collapsed="false">
      <c r="A7" s="10" t="n">
        <v>3</v>
      </c>
      <c r="B7" s="4" t="s">
        <v>76</v>
      </c>
      <c r="C7" s="4" t="s">
        <v>77</v>
      </c>
      <c r="D7" s="4" t="s">
        <v>78</v>
      </c>
    </row>
    <row r="8" customFormat="false" ht="15" hidden="false" customHeight="true" outlineLevel="0" collapsed="false">
      <c r="A8" s="10" t="n">
        <v>4</v>
      </c>
      <c r="B8" s="4" t="s">
        <v>79</v>
      </c>
      <c r="C8" s="4" t="s">
        <v>80</v>
      </c>
      <c r="D8" s="4" t="s">
        <v>81</v>
      </c>
    </row>
    <row r="9" customFormat="false" ht="15" hidden="false" customHeight="true" outlineLevel="0" collapsed="false">
      <c r="A9" s="10" t="n">
        <v>5</v>
      </c>
      <c r="B9" s="4" t="s">
        <v>82</v>
      </c>
      <c r="C9" s="4" t="s">
        <v>83</v>
      </c>
      <c r="D9" s="4" t="s">
        <v>84</v>
      </c>
    </row>
    <row r="10" customFormat="false" ht="15" hidden="false" customHeight="true" outlineLevel="0" collapsed="false">
      <c r="A10" s="10" t="n">
        <v>6</v>
      </c>
      <c r="B10" s="4" t="s">
        <v>85</v>
      </c>
      <c r="C10" s="4" t="s">
        <v>86</v>
      </c>
      <c r="D10" s="4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6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10"/>
    <col collapsed="false" customWidth="true" hidden="false" outlineLevel="0" max="13" min="13" style="1" width="14"/>
    <col collapsed="false" customWidth="true" hidden="false" outlineLevel="0" max="15" min="14" style="1" width="12"/>
  </cols>
  <sheetData>
    <row r="1" customFormat="false" ht="17.25" hidden="false" customHeight="true" outlineLevel="0" collapsed="false">
      <c r="A1" s="2" t="s">
        <v>88</v>
      </c>
    </row>
    <row r="2" customFormat="false" ht="15" hidden="false" customHeight="true" outlineLevel="0" collapsed="false">
      <c r="A2" s="7" t="s">
        <v>89</v>
      </c>
    </row>
    <row r="4" customFormat="false" ht="15" hidden="false" customHeight="true" outlineLevel="0" collapsed="false">
      <c r="A4" s="13" t="s">
        <v>37</v>
      </c>
      <c r="B4" s="3" t="s">
        <v>90</v>
      </c>
      <c r="C4" s="14" t="s">
        <v>91</v>
      </c>
      <c r="D4" s="14" t="s">
        <v>92</v>
      </c>
      <c r="E4" s="3" t="s">
        <v>42</v>
      </c>
      <c r="F4" s="3" t="s">
        <v>93</v>
      </c>
      <c r="G4" s="3" t="s">
        <v>94</v>
      </c>
      <c r="H4" s="3" t="s">
        <v>95</v>
      </c>
      <c r="I4" s="3" t="s">
        <v>96</v>
      </c>
      <c r="J4" s="3" t="s">
        <v>97</v>
      </c>
      <c r="K4" s="3" t="s">
        <v>98</v>
      </c>
      <c r="L4" s="3" t="s">
        <v>99</v>
      </c>
      <c r="M4" s="3" t="s">
        <v>100</v>
      </c>
      <c r="N4" s="3" t="s">
        <v>43</v>
      </c>
      <c r="O4" s="3" t="s">
        <v>101</v>
      </c>
    </row>
    <row r="5" customFormat="false" ht="15" hidden="false" customHeight="true" outlineLevel="0" collapsed="false">
      <c r="A5" s="10" t="n">
        <v>1</v>
      </c>
      <c r="B5" s="4" t="s">
        <v>102</v>
      </c>
      <c r="C5" s="15" t="n">
        <v>2</v>
      </c>
      <c r="D5" s="15"/>
      <c r="E5" s="4" t="n">
        <v>10</v>
      </c>
      <c r="F5" s="4" t="n">
        <v>0</v>
      </c>
      <c r="G5" s="4" t="s">
        <v>103</v>
      </c>
      <c r="H5" s="4" t="s">
        <v>104</v>
      </c>
      <c r="I5" s="4" t="s">
        <v>105</v>
      </c>
      <c r="J5" s="4" t="b">
        <f aca="false">TRUE()</f>
        <v>1</v>
      </c>
      <c r="K5" s="11" t="n">
        <v>46207</v>
      </c>
      <c r="L5" s="4" t="s">
        <v>106</v>
      </c>
      <c r="M5" s="4"/>
      <c r="N5" s="11" t="n">
        <v>46207</v>
      </c>
      <c r="O5" s="11" t="n">
        <v>46208</v>
      </c>
    </row>
    <row r="6" customFormat="false" ht="15" hidden="false" customHeight="true" outlineLevel="0" collapsed="false">
      <c r="A6" s="10" t="n">
        <v>2</v>
      </c>
      <c r="B6" s="4" t="s">
        <v>107</v>
      </c>
      <c r="C6" s="15" t="n">
        <v>3</v>
      </c>
      <c r="D6" s="15" t="n">
        <v>6</v>
      </c>
      <c r="E6" s="4" t="n">
        <v>19</v>
      </c>
      <c r="F6" s="4" t="n">
        <v>0</v>
      </c>
      <c r="G6" s="4" t="s">
        <v>87</v>
      </c>
      <c r="H6" s="4" t="s">
        <v>104</v>
      </c>
      <c r="I6" s="4" t="s">
        <v>108</v>
      </c>
      <c r="J6" s="4" t="b">
        <f aca="false">TRUE()</f>
        <v>1</v>
      </c>
      <c r="K6" s="11" t="n">
        <v>46210</v>
      </c>
      <c r="L6" s="4" t="s">
        <v>109</v>
      </c>
      <c r="M6" s="4"/>
      <c r="N6" s="11" t="n">
        <v>46210</v>
      </c>
      <c r="O6" s="4"/>
    </row>
    <row r="7" customFormat="false" ht="15" hidden="false" customHeight="true" outlineLevel="0" collapsed="false">
      <c r="A7" s="10" t="n">
        <v>3</v>
      </c>
      <c r="B7" s="4" t="s">
        <v>110</v>
      </c>
      <c r="C7" s="15" t="n">
        <v>1</v>
      </c>
      <c r="D7" s="15"/>
      <c r="E7" s="4" t="n">
        <v>8</v>
      </c>
      <c r="F7" s="4" t="n">
        <v>0</v>
      </c>
      <c r="G7" s="4" t="s">
        <v>111</v>
      </c>
      <c r="H7" s="4" t="s">
        <v>112</v>
      </c>
      <c r="I7" s="4" t="s">
        <v>113</v>
      </c>
      <c r="J7" s="4" t="b">
        <f aca="false">TRUE()</f>
        <v>1</v>
      </c>
      <c r="K7" s="11" t="n">
        <v>46213</v>
      </c>
      <c r="L7" s="4" t="s">
        <v>106</v>
      </c>
      <c r="M7" s="4"/>
      <c r="N7" s="11" t="n">
        <v>46213</v>
      </c>
      <c r="O7" s="11" t="n">
        <v>46214</v>
      </c>
    </row>
    <row r="8" customFormat="false" ht="15" hidden="false" customHeight="true" outlineLevel="0" collapsed="false">
      <c r="A8" s="10" t="n">
        <v>4</v>
      </c>
      <c r="B8" s="4" t="s">
        <v>114</v>
      </c>
      <c r="C8" s="15" t="n">
        <v>9</v>
      </c>
      <c r="D8" s="15" t="n">
        <v>6</v>
      </c>
      <c r="E8" s="4" t="n">
        <v>19</v>
      </c>
      <c r="F8" s="4" t="n">
        <v>0</v>
      </c>
      <c r="G8" s="4" t="s">
        <v>103</v>
      </c>
      <c r="H8" s="4" t="s">
        <v>104</v>
      </c>
      <c r="I8" s="4" t="s">
        <v>105</v>
      </c>
      <c r="J8" s="4" t="b">
        <f aca="false">TRUE()</f>
        <v>1</v>
      </c>
      <c r="K8" s="11" t="n">
        <v>46216</v>
      </c>
      <c r="L8" s="4" t="s">
        <v>115</v>
      </c>
      <c r="M8" s="4"/>
      <c r="N8" s="11" t="n">
        <v>46216</v>
      </c>
      <c r="O8" s="11" t="n">
        <v>46217</v>
      </c>
    </row>
    <row r="9" customFormat="false" ht="15" hidden="false" customHeight="true" outlineLevel="0" collapsed="false">
      <c r="A9" s="10" t="n">
        <v>5</v>
      </c>
      <c r="B9" s="4" t="s">
        <v>116</v>
      </c>
      <c r="C9" s="15" t="n">
        <v>8</v>
      </c>
      <c r="D9" s="15" t="n">
        <v>1</v>
      </c>
      <c r="E9" s="4" t="n">
        <v>7</v>
      </c>
      <c r="F9" s="4" t="n">
        <v>0</v>
      </c>
      <c r="G9" s="4" t="s">
        <v>117</v>
      </c>
      <c r="H9" s="4" t="s">
        <v>104</v>
      </c>
      <c r="I9" s="4" t="s">
        <v>118</v>
      </c>
      <c r="J9" s="4" t="b">
        <f aca="false">TRUE()</f>
        <v>1</v>
      </c>
      <c r="K9" s="11" t="n">
        <v>46219</v>
      </c>
      <c r="L9" s="4" t="s">
        <v>115</v>
      </c>
      <c r="M9" s="4"/>
      <c r="N9" s="11" t="n">
        <v>46219</v>
      </c>
      <c r="O9" s="11" t="n">
        <v>46220</v>
      </c>
    </row>
    <row r="10" customFormat="false" ht="15" hidden="false" customHeight="true" outlineLevel="0" collapsed="false">
      <c r="A10" s="10" t="n">
        <v>6</v>
      </c>
      <c r="B10" s="4" t="s">
        <v>119</v>
      </c>
      <c r="C10" s="15" t="n">
        <v>5</v>
      </c>
      <c r="D10" s="15" t="n">
        <v>3</v>
      </c>
      <c r="E10" s="4" t="n">
        <v>5</v>
      </c>
      <c r="F10" s="4" t="n">
        <v>0</v>
      </c>
      <c r="G10" s="4" t="s">
        <v>87</v>
      </c>
      <c r="H10" s="4" t="s">
        <v>104</v>
      </c>
      <c r="I10" s="4" t="s">
        <v>108</v>
      </c>
      <c r="J10" s="4" t="b">
        <f aca="false">TRUE()</f>
        <v>1</v>
      </c>
      <c r="K10" s="11" t="n">
        <v>46222</v>
      </c>
      <c r="L10" s="4" t="s">
        <v>109</v>
      </c>
      <c r="M10" s="4"/>
      <c r="N10" s="11" t="n">
        <v>46222</v>
      </c>
      <c r="O10" s="4"/>
    </row>
    <row r="11" customFormat="false" ht="15" hidden="false" customHeight="true" outlineLevel="0" collapsed="false">
      <c r="A11" s="10" t="n">
        <v>7</v>
      </c>
      <c r="B11" s="4" t="s">
        <v>120</v>
      </c>
      <c r="C11" s="15" t="n">
        <v>2</v>
      </c>
      <c r="D11" s="15" t="n">
        <v>3</v>
      </c>
      <c r="E11" s="4" t="n">
        <v>10</v>
      </c>
      <c r="F11" s="4" t="n">
        <v>0</v>
      </c>
      <c r="G11" s="4" t="s">
        <v>87</v>
      </c>
      <c r="H11" s="4" t="s">
        <v>104</v>
      </c>
      <c r="I11" s="4" t="s">
        <v>108</v>
      </c>
      <c r="J11" s="4" t="b">
        <f aca="false">TRUE()</f>
        <v>1</v>
      </c>
      <c r="K11" s="11" t="n">
        <v>46225</v>
      </c>
      <c r="L11" s="4" t="s">
        <v>109</v>
      </c>
      <c r="M11" s="4"/>
      <c r="N11" s="11" t="n">
        <v>46225</v>
      </c>
      <c r="O11" s="4"/>
    </row>
    <row r="12" customFormat="false" ht="15" hidden="false" customHeight="true" outlineLevel="0" collapsed="false">
      <c r="A12" s="10" t="n">
        <v>8</v>
      </c>
      <c r="B12" s="4" t="s">
        <v>121</v>
      </c>
      <c r="C12" s="15" t="n">
        <v>9</v>
      </c>
      <c r="D12" s="15"/>
      <c r="E12" s="4" t="n">
        <v>14</v>
      </c>
      <c r="F12" s="4" t="n">
        <v>0</v>
      </c>
      <c r="G12" s="4" t="s">
        <v>117</v>
      </c>
      <c r="H12" s="4" t="s">
        <v>104</v>
      </c>
      <c r="I12" s="4" t="s">
        <v>118</v>
      </c>
      <c r="J12" s="4" t="b">
        <f aca="false">TRUE()</f>
        <v>1</v>
      </c>
      <c r="K12" s="11" t="n">
        <v>46228</v>
      </c>
      <c r="L12" s="4" t="s">
        <v>109</v>
      </c>
      <c r="M12" s="4"/>
      <c r="N12" s="11" t="n">
        <v>46228</v>
      </c>
      <c r="O12" s="4"/>
    </row>
    <row r="13" customFormat="false" ht="15" hidden="false" customHeight="true" outlineLevel="0" collapsed="false">
      <c r="A13" s="10" t="n">
        <v>9</v>
      </c>
      <c r="B13" s="4" t="s">
        <v>122</v>
      </c>
      <c r="C13" s="15" t="n">
        <v>10</v>
      </c>
      <c r="D13" s="15" t="n">
        <v>3</v>
      </c>
      <c r="E13" s="4" t="n">
        <v>20</v>
      </c>
      <c r="F13" s="4" t="n">
        <v>0</v>
      </c>
      <c r="G13" s="4" t="s">
        <v>111</v>
      </c>
      <c r="H13" s="4" t="s">
        <v>112</v>
      </c>
      <c r="I13" s="4" t="s">
        <v>113</v>
      </c>
      <c r="J13" s="4" t="b">
        <f aca="false">TRUE()</f>
        <v>1</v>
      </c>
      <c r="K13" s="11" t="n">
        <v>46231</v>
      </c>
      <c r="L13" s="4" t="s">
        <v>106</v>
      </c>
      <c r="M13" s="4"/>
      <c r="N13" s="11" t="n">
        <v>46231</v>
      </c>
      <c r="O13" s="11" t="n">
        <v>46232</v>
      </c>
    </row>
    <row r="14" customFormat="false" ht="15" hidden="false" customHeight="true" outlineLevel="0" collapsed="false">
      <c r="A14" s="10" t="n">
        <v>10</v>
      </c>
      <c r="B14" s="4" t="s">
        <v>123</v>
      </c>
      <c r="C14" s="15" t="n">
        <v>1</v>
      </c>
      <c r="D14" s="15" t="n">
        <v>3</v>
      </c>
      <c r="E14" s="4" t="n">
        <v>4</v>
      </c>
      <c r="F14" s="4" t="n">
        <v>0</v>
      </c>
      <c r="G14" s="4" t="s">
        <v>111</v>
      </c>
      <c r="H14" s="4" t="s">
        <v>112</v>
      </c>
      <c r="I14" s="4" t="s">
        <v>113</v>
      </c>
      <c r="J14" s="4" t="b">
        <f aca="false">TRUE()</f>
        <v>1</v>
      </c>
      <c r="K14" s="11" t="n">
        <v>46234</v>
      </c>
      <c r="L14" s="4" t="s">
        <v>106</v>
      </c>
      <c r="M14" s="4"/>
      <c r="N14" s="11" t="n">
        <v>46234</v>
      </c>
      <c r="O14" s="11" t="n">
        <v>46235</v>
      </c>
    </row>
    <row r="15" customFormat="false" ht="15" hidden="false" customHeight="true" outlineLevel="0" collapsed="false">
      <c r="A15" s="10" t="n">
        <v>11</v>
      </c>
      <c r="B15" s="4" t="s">
        <v>124</v>
      </c>
      <c r="C15" s="15" t="n">
        <v>7</v>
      </c>
      <c r="D15" s="15" t="n">
        <v>6</v>
      </c>
      <c r="E15" s="4" t="n">
        <v>13</v>
      </c>
      <c r="F15" s="4" t="n">
        <v>0</v>
      </c>
      <c r="G15" s="4" t="s">
        <v>117</v>
      </c>
      <c r="H15" s="4" t="s">
        <v>104</v>
      </c>
      <c r="I15" s="4" t="s">
        <v>118</v>
      </c>
      <c r="J15" s="4" t="b">
        <f aca="false">TRUE()</f>
        <v>1</v>
      </c>
      <c r="K15" s="11" t="n">
        <v>46237</v>
      </c>
      <c r="L15" s="4" t="s">
        <v>106</v>
      </c>
      <c r="M15" s="4"/>
      <c r="N15" s="11" t="n">
        <v>46237</v>
      </c>
      <c r="O15" s="11" t="n">
        <v>46238</v>
      </c>
    </row>
    <row r="16" customFormat="false" ht="15" hidden="false" customHeight="true" outlineLevel="0" collapsed="false">
      <c r="A16" s="10" t="n">
        <v>12</v>
      </c>
      <c r="B16" s="4" t="s">
        <v>125</v>
      </c>
      <c r="C16" s="15" t="n">
        <v>6</v>
      </c>
      <c r="D16" s="15" t="n">
        <v>3</v>
      </c>
      <c r="E16" s="4" t="n">
        <v>4</v>
      </c>
      <c r="F16" s="4" t="n">
        <v>4</v>
      </c>
      <c r="G16" s="4" t="s">
        <v>103</v>
      </c>
      <c r="H16" s="4" t="s">
        <v>104</v>
      </c>
      <c r="I16" s="4" t="s">
        <v>105</v>
      </c>
      <c r="J16" s="4" t="b">
        <f aca="false">TRUE()</f>
        <v>1</v>
      </c>
      <c r="K16" s="11" t="n">
        <v>46240</v>
      </c>
      <c r="L16" s="4" t="s">
        <v>126</v>
      </c>
      <c r="M16" s="4"/>
      <c r="N16" s="11" t="n">
        <v>46240</v>
      </c>
      <c r="O16" s="11" t="n">
        <v>46241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0"/>
    <col collapsed="false" customWidth="true" hidden="false" outlineLevel="0" max="7" min="7" style="1" width="14"/>
  </cols>
  <sheetData>
    <row r="1" customFormat="false" ht="17.25" hidden="false" customHeight="true" outlineLevel="0" collapsed="false">
      <c r="A1" s="2" t="s">
        <v>127</v>
      </c>
    </row>
    <row r="2" customFormat="false" ht="15" hidden="false" customHeight="true" outlineLevel="0" collapsed="false">
      <c r="A2" s="7" t="s">
        <v>128</v>
      </c>
    </row>
    <row r="4" customFormat="false" ht="15" hidden="false" customHeight="true" outlineLevel="0" collapsed="false">
      <c r="A4" s="13" t="s">
        <v>37</v>
      </c>
      <c r="B4" s="14" t="s">
        <v>91</v>
      </c>
      <c r="C4" s="14" t="s">
        <v>92</v>
      </c>
      <c r="D4" s="14" t="s">
        <v>129</v>
      </c>
      <c r="E4" s="3" t="s">
        <v>42</v>
      </c>
      <c r="F4" s="3" t="s">
        <v>130</v>
      </c>
      <c r="G4" s="3" t="s">
        <v>43</v>
      </c>
    </row>
    <row r="5" customFormat="false" ht="15" hidden="false" customHeight="true" outlineLevel="0" collapsed="false">
      <c r="A5" s="10" t="n">
        <v>1</v>
      </c>
      <c r="B5" s="15" t="n">
        <v>8</v>
      </c>
      <c r="C5" s="15" t="n">
        <v>1</v>
      </c>
      <c r="D5" s="15"/>
      <c r="E5" s="4" t="n">
        <v>-14</v>
      </c>
      <c r="F5" s="4" t="s">
        <v>131</v>
      </c>
      <c r="G5" s="11" t="n">
        <v>46217</v>
      </c>
    </row>
    <row r="6" customFormat="false" ht="15" hidden="false" customHeight="true" outlineLevel="0" collapsed="false">
      <c r="A6" s="10" t="n">
        <v>2</v>
      </c>
      <c r="B6" s="15" t="n">
        <v>1</v>
      </c>
      <c r="C6" s="15"/>
      <c r="D6" s="15"/>
      <c r="E6" s="4" t="n">
        <v>36</v>
      </c>
      <c r="F6" s="4" t="s">
        <v>132</v>
      </c>
      <c r="G6" s="11" t="n">
        <v>46218</v>
      </c>
    </row>
    <row r="7" customFormat="false" ht="15" hidden="false" customHeight="true" outlineLevel="0" collapsed="false">
      <c r="A7" s="10" t="n">
        <v>3</v>
      </c>
      <c r="B7" s="15" t="n">
        <v>9</v>
      </c>
      <c r="C7" s="15" t="n">
        <v>1</v>
      </c>
      <c r="D7" s="15"/>
      <c r="E7" s="4" t="n">
        <v>-11</v>
      </c>
      <c r="F7" s="4" t="s">
        <v>131</v>
      </c>
      <c r="G7" s="11" t="n">
        <v>46219</v>
      </c>
    </row>
    <row r="8" customFormat="false" ht="15" hidden="false" customHeight="true" outlineLevel="0" collapsed="false">
      <c r="A8" s="10" t="n">
        <v>4</v>
      </c>
      <c r="B8" s="15" t="n">
        <v>6</v>
      </c>
      <c r="C8" s="15"/>
      <c r="D8" s="15"/>
      <c r="E8" s="4" t="n">
        <v>22</v>
      </c>
      <c r="F8" s="4" t="s">
        <v>132</v>
      </c>
      <c r="G8" s="11" t="n">
        <v>46221</v>
      </c>
    </row>
    <row r="9" customFormat="false" ht="15" hidden="false" customHeight="true" outlineLevel="0" collapsed="false">
      <c r="A9" s="10" t="n">
        <v>5</v>
      </c>
      <c r="B9" s="15" t="n">
        <v>4</v>
      </c>
      <c r="C9" s="15"/>
      <c r="D9" s="15" t="n">
        <v>4</v>
      </c>
      <c r="E9" s="4" t="n">
        <v>-1</v>
      </c>
      <c r="F9" s="4" t="s">
        <v>131</v>
      </c>
      <c r="G9" s="11" t="n">
        <v>46221</v>
      </c>
    </row>
    <row r="10" customFormat="false" ht="15" hidden="false" customHeight="true" outlineLevel="0" collapsed="false">
      <c r="A10" s="10" t="n">
        <v>6</v>
      </c>
      <c r="B10" s="15" t="n">
        <v>8</v>
      </c>
      <c r="C10" s="15"/>
      <c r="D10" s="15"/>
      <c r="E10" s="4" t="n">
        <v>17</v>
      </c>
      <c r="F10" s="4" t="s">
        <v>132</v>
      </c>
      <c r="G10" s="11" t="n">
        <v>46223</v>
      </c>
    </row>
    <row r="11" customFormat="false" ht="15" hidden="false" customHeight="true" outlineLevel="0" collapsed="false">
      <c r="A11" s="10" t="n">
        <v>7</v>
      </c>
      <c r="B11" s="15" t="n">
        <v>2</v>
      </c>
      <c r="C11" s="15"/>
      <c r="D11" s="15"/>
      <c r="E11" s="4" t="n">
        <v>40</v>
      </c>
      <c r="F11" s="4" t="s">
        <v>132</v>
      </c>
      <c r="G11" s="11" t="n">
        <v>46223</v>
      </c>
    </row>
    <row r="12" customFormat="false" ht="15" hidden="false" customHeight="true" outlineLevel="0" collapsed="false">
      <c r="A12" s="10" t="n">
        <v>8</v>
      </c>
      <c r="B12" s="15" t="n">
        <v>8</v>
      </c>
      <c r="C12" s="15"/>
      <c r="D12" s="15"/>
      <c r="E12" s="4" t="n">
        <v>34</v>
      </c>
      <c r="F12" s="4" t="s">
        <v>132</v>
      </c>
      <c r="G12" s="11" t="n">
        <v>46226</v>
      </c>
    </row>
    <row r="13" customFormat="false" ht="15" hidden="false" customHeight="true" outlineLevel="0" collapsed="false">
      <c r="A13" s="10" t="n">
        <v>9</v>
      </c>
      <c r="B13" s="15" t="n">
        <v>2</v>
      </c>
      <c r="C13" s="15" t="n">
        <v>1</v>
      </c>
      <c r="D13" s="15"/>
      <c r="E13" s="4" t="n">
        <v>-7</v>
      </c>
      <c r="F13" s="4" t="s">
        <v>131</v>
      </c>
      <c r="G13" s="11" t="n">
        <v>46229</v>
      </c>
    </row>
    <row r="14" customFormat="false" ht="15" hidden="false" customHeight="true" outlineLevel="0" collapsed="false">
      <c r="A14" s="10" t="n">
        <v>10</v>
      </c>
      <c r="B14" s="15" t="n">
        <v>4</v>
      </c>
      <c r="C14" s="15"/>
      <c r="D14" s="15"/>
      <c r="E14" s="4" t="n">
        <v>36</v>
      </c>
      <c r="F14" s="4" t="s">
        <v>132</v>
      </c>
      <c r="G14" s="11" t="n">
        <v>46230</v>
      </c>
    </row>
    <row r="15" customFormat="false" ht="15" hidden="false" customHeight="true" outlineLevel="0" collapsed="false">
      <c r="A15" s="10" t="n">
        <v>11</v>
      </c>
      <c r="B15" s="15" t="n">
        <v>7</v>
      </c>
      <c r="C15" s="15"/>
      <c r="D15" s="15"/>
      <c r="E15" s="4" t="n">
        <v>28</v>
      </c>
      <c r="F15" s="4" t="s">
        <v>132</v>
      </c>
      <c r="G15" s="11" t="n">
        <v>46231</v>
      </c>
    </row>
    <row r="16" customFormat="false" ht="15" hidden="false" customHeight="true" outlineLevel="0" collapsed="false">
      <c r="A16" s="10" t="n">
        <v>12</v>
      </c>
      <c r="B16" s="15" t="n">
        <v>2</v>
      </c>
      <c r="C16" s="15"/>
      <c r="D16" s="15"/>
      <c r="E16" s="4" t="n">
        <v>24</v>
      </c>
      <c r="F16" s="4" t="s">
        <v>132</v>
      </c>
      <c r="G16" s="11" t="n">
        <v>46232</v>
      </c>
    </row>
    <row r="17" customFormat="false" ht="15" hidden="false" customHeight="true" outlineLevel="0" collapsed="false">
      <c r="A17" s="10" t="n">
        <v>13</v>
      </c>
      <c r="B17" s="15" t="n">
        <v>3</v>
      </c>
      <c r="C17" s="15"/>
      <c r="D17" s="15"/>
      <c r="E17" s="4" t="n">
        <v>34</v>
      </c>
      <c r="F17" s="4" t="s">
        <v>132</v>
      </c>
      <c r="G17" s="11" t="n">
        <v>46232</v>
      </c>
    </row>
    <row r="18" customFormat="false" ht="15" hidden="false" customHeight="true" outlineLevel="0" collapsed="false">
      <c r="A18" s="10" t="n">
        <v>14</v>
      </c>
      <c r="B18" s="15" t="n">
        <v>7</v>
      </c>
      <c r="C18" s="15"/>
      <c r="D18" s="15"/>
      <c r="E18" s="4" t="n">
        <v>38</v>
      </c>
      <c r="F18" s="4" t="s">
        <v>132</v>
      </c>
      <c r="G18" s="11" t="n">
        <v>46233</v>
      </c>
    </row>
    <row r="19" customFormat="false" ht="15" hidden="false" customHeight="true" outlineLevel="0" collapsed="false">
      <c r="A19" s="10" t="n">
        <v>15</v>
      </c>
      <c r="B19" s="15" t="n">
        <v>7</v>
      </c>
      <c r="C19" s="15"/>
      <c r="D19" s="15"/>
      <c r="E19" s="4" t="n">
        <v>34</v>
      </c>
      <c r="F19" s="4" t="s">
        <v>132</v>
      </c>
      <c r="G19" s="11" t="n">
        <v>46235</v>
      </c>
    </row>
    <row r="20" customFormat="false" ht="15" hidden="false" customHeight="true" outlineLevel="0" collapsed="false">
      <c r="A20" s="10" t="n">
        <v>16</v>
      </c>
      <c r="B20" s="15" t="n">
        <v>1</v>
      </c>
      <c r="C20" s="15" t="n">
        <v>6</v>
      </c>
      <c r="D20" s="15" t="n">
        <v>2</v>
      </c>
      <c r="E20" s="4" t="n">
        <v>-3</v>
      </c>
      <c r="F20" s="4" t="s">
        <v>131</v>
      </c>
      <c r="G20" s="11" t="n">
        <v>46241</v>
      </c>
    </row>
    <row r="21" customFormat="false" ht="15" hidden="false" customHeight="true" outlineLevel="0" collapsed="false">
      <c r="A21" s="10" t="n">
        <v>17</v>
      </c>
      <c r="B21" s="15" t="n">
        <v>2</v>
      </c>
      <c r="C21" s="15"/>
      <c r="D21" s="15"/>
      <c r="E21" s="4" t="n">
        <v>27</v>
      </c>
      <c r="F21" s="4" t="s">
        <v>132</v>
      </c>
      <c r="G21" s="11" t="n">
        <v>46244</v>
      </c>
    </row>
    <row r="22" customFormat="false" ht="15" hidden="false" customHeight="true" outlineLevel="0" collapsed="false">
      <c r="A22" s="10" t="n">
        <v>18</v>
      </c>
      <c r="B22" s="15" t="n">
        <v>9</v>
      </c>
      <c r="C22" s="15"/>
      <c r="D22" s="15"/>
      <c r="E22" s="4" t="n">
        <v>13</v>
      </c>
      <c r="F22" s="4" t="s">
        <v>132</v>
      </c>
      <c r="G22" s="11" t="n">
        <v>46244</v>
      </c>
    </row>
    <row r="23" customFormat="false" ht="15" hidden="false" customHeight="true" outlineLevel="0" collapsed="false">
      <c r="A23" s="10" t="n">
        <v>19</v>
      </c>
      <c r="B23" s="15" t="n">
        <v>6</v>
      </c>
      <c r="C23" s="15"/>
      <c r="D23" s="15"/>
      <c r="E23" s="4" t="n">
        <v>38</v>
      </c>
      <c r="F23" s="4" t="s">
        <v>132</v>
      </c>
      <c r="G23" s="11" t="n">
        <v>46245</v>
      </c>
    </row>
    <row r="24" customFormat="false" ht="15" hidden="false" customHeight="true" outlineLevel="0" collapsed="false">
      <c r="A24" s="10" t="n">
        <v>20</v>
      </c>
      <c r="B24" s="15" t="n">
        <v>1</v>
      </c>
      <c r="C24" s="15" t="n">
        <v>1</v>
      </c>
      <c r="D24" s="15"/>
      <c r="E24" s="4" t="n">
        <v>-15</v>
      </c>
      <c r="F24" s="4" t="s">
        <v>131</v>
      </c>
      <c r="G24" s="11" t="n">
        <v>46248</v>
      </c>
    </row>
    <row r="25" customFormat="false" ht="15" hidden="false" customHeight="true" outlineLevel="0" collapsed="false">
      <c r="A25" s="10" t="n">
        <v>21</v>
      </c>
      <c r="B25" s="15" t="n">
        <v>1</v>
      </c>
      <c r="C25" s="15" t="n">
        <v>2</v>
      </c>
      <c r="D25" s="15"/>
      <c r="E25" s="4" t="n">
        <v>-2</v>
      </c>
      <c r="F25" s="4" t="s">
        <v>131</v>
      </c>
      <c r="G25" s="11" t="n">
        <v>46248</v>
      </c>
    </row>
    <row r="26" customFormat="false" ht="15" hidden="false" customHeight="true" outlineLevel="0" collapsed="false">
      <c r="A26" s="10" t="n">
        <v>22</v>
      </c>
      <c r="B26" s="15" t="n">
        <v>1</v>
      </c>
      <c r="C26" s="15"/>
      <c r="D26" s="15"/>
      <c r="E26" s="4" t="n">
        <v>9</v>
      </c>
      <c r="F26" s="4" t="s">
        <v>132</v>
      </c>
      <c r="G26" s="11" t="n">
        <v>46249</v>
      </c>
    </row>
    <row r="27" customFormat="false" ht="15" hidden="false" customHeight="true" outlineLevel="0" collapsed="false">
      <c r="A27" s="10" t="n">
        <v>23</v>
      </c>
      <c r="B27" s="15" t="n">
        <v>2</v>
      </c>
      <c r="C27" s="15" t="n">
        <v>5</v>
      </c>
      <c r="D27" s="15"/>
      <c r="E27" s="4" t="n">
        <v>-3</v>
      </c>
      <c r="F27" s="4" t="s">
        <v>131</v>
      </c>
      <c r="G27" s="11" t="n">
        <v>46250</v>
      </c>
    </row>
    <row r="28" customFormat="false" ht="15" hidden="false" customHeight="true" outlineLevel="0" collapsed="false">
      <c r="A28" s="10" t="n">
        <v>24</v>
      </c>
      <c r="B28" s="15" t="n">
        <v>10</v>
      </c>
      <c r="C28" s="15"/>
      <c r="D28" s="15"/>
      <c r="E28" s="4" t="n">
        <v>18</v>
      </c>
      <c r="F28" s="4" t="s">
        <v>132</v>
      </c>
      <c r="G28" s="11" t="n">
        <v>46251</v>
      </c>
    </row>
    <row r="29" customFormat="false" ht="15" hidden="false" customHeight="true" outlineLevel="0" collapsed="false">
      <c r="A29" s="10" t="n">
        <v>25</v>
      </c>
      <c r="B29" s="15" t="n">
        <v>2</v>
      </c>
      <c r="C29" s="15"/>
      <c r="D29" s="15"/>
      <c r="E29" s="4" t="n">
        <v>-4</v>
      </c>
      <c r="F29" s="4" t="s">
        <v>131</v>
      </c>
      <c r="G29" s="11" t="n">
        <v>46252</v>
      </c>
    </row>
    <row r="30" customFormat="false" ht="15" hidden="false" customHeight="true" outlineLevel="0" collapsed="false">
      <c r="A30" s="10" t="n">
        <v>26</v>
      </c>
      <c r="B30" s="15" t="n">
        <v>5</v>
      </c>
      <c r="C30" s="15" t="n">
        <v>5</v>
      </c>
      <c r="D30" s="15"/>
      <c r="E30" s="4" t="n">
        <v>-4</v>
      </c>
      <c r="F30" s="4" t="s">
        <v>131</v>
      </c>
      <c r="G30" s="11" t="n">
        <v>46254</v>
      </c>
    </row>
    <row r="31" customFormat="false" ht="15" hidden="false" customHeight="true" outlineLevel="0" collapsed="false">
      <c r="A31" s="10" t="n">
        <v>27</v>
      </c>
      <c r="B31" s="15" t="n">
        <v>5</v>
      </c>
      <c r="C31" s="15" t="n">
        <v>6</v>
      </c>
      <c r="D31" s="15"/>
      <c r="E31" s="4" t="n">
        <v>-9</v>
      </c>
      <c r="F31" s="4" t="s">
        <v>131</v>
      </c>
      <c r="G31" s="11" t="n">
        <v>46257</v>
      </c>
    </row>
    <row r="32" customFormat="false" ht="15" hidden="false" customHeight="true" outlineLevel="0" collapsed="false">
      <c r="A32" s="10" t="n">
        <v>28</v>
      </c>
      <c r="B32" s="15" t="n">
        <v>4</v>
      </c>
      <c r="C32" s="15"/>
      <c r="D32" s="15"/>
      <c r="E32" s="4" t="n">
        <v>18</v>
      </c>
      <c r="F32" s="4" t="s">
        <v>132</v>
      </c>
      <c r="G32" s="11" t="n">
        <v>46258</v>
      </c>
    </row>
    <row r="33" customFormat="false" ht="15" hidden="false" customHeight="true" outlineLevel="0" collapsed="false">
      <c r="A33" s="10" t="n">
        <v>29</v>
      </c>
      <c r="B33" s="15" t="n">
        <v>4</v>
      </c>
      <c r="C33" s="15"/>
      <c r="D33" s="15"/>
      <c r="E33" s="4" t="n">
        <v>30</v>
      </c>
      <c r="F33" s="4" t="s">
        <v>132</v>
      </c>
      <c r="G33" s="11" t="n">
        <v>46259</v>
      </c>
    </row>
    <row r="34" customFormat="false" ht="15" hidden="false" customHeight="true" outlineLevel="0" collapsed="false">
      <c r="A34" s="10" t="n">
        <v>30</v>
      </c>
      <c r="B34" s="15" t="n">
        <v>7</v>
      </c>
      <c r="C34" s="15"/>
      <c r="D34" s="15"/>
      <c r="E34" s="4" t="n">
        <v>8</v>
      </c>
      <c r="F34" s="4" t="s">
        <v>132</v>
      </c>
      <c r="G34" s="11" t="n">
        <v>46260</v>
      </c>
    </row>
    <row r="35" customFormat="false" ht="15" hidden="false" customHeight="true" outlineLevel="0" collapsed="false">
      <c r="A35" s="10" t="n">
        <v>31</v>
      </c>
      <c r="B35" s="15" t="n">
        <v>9</v>
      </c>
      <c r="C35" s="15" t="n">
        <v>3</v>
      </c>
      <c r="D35" s="15" t="n">
        <v>11</v>
      </c>
      <c r="E35" s="4" t="n">
        <v>-3</v>
      </c>
      <c r="F35" s="4" t="s">
        <v>131</v>
      </c>
      <c r="G35" s="11" t="n">
        <v>46261</v>
      </c>
    </row>
    <row r="36" customFormat="false" ht="15" hidden="false" customHeight="true" outlineLevel="0" collapsed="false">
      <c r="A36" s="10" t="n">
        <v>32</v>
      </c>
      <c r="B36" s="15" t="n">
        <v>6</v>
      </c>
      <c r="C36" s="15" t="n">
        <v>4</v>
      </c>
      <c r="D36" s="15"/>
      <c r="E36" s="4" t="n">
        <v>-5</v>
      </c>
      <c r="F36" s="4" t="s">
        <v>131</v>
      </c>
      <c r="G36" s="11" t="n">
        <v>46263</v>
      </c>
    </row>
    <row r="37" customFormat="false" ht="15" hidden="false" customHeight="true" outlineLevel="0" collapsed="false">
      <c r="A37" s="10" t="n">
        <v>33</v>
      </c>
      <c r="B37" s="15" t="n">
        <v>3</v>
      </c>
      <c r="C37" s="15"/>
      <c r="D37" s="15"/>
      <c r="E37" s="4" t="n">
        <v>10</v>
      </c>
      <c r="F37" s="4" t="s">
        <v>132</v>
      </c>
      <c r="G37" s="11" t="n">
        <v>46265</v>
      </c>
    </row>
    <row r="38" customFormat="false" ht="15" hidden="false" customHeight="true" outlineLevel="0" collapsed="false">
      <c r="A38" s="10" t="n">
        <v>34</v>
      </c>
      <c r="B38" s="15" t="n">
        <v>9</v>
      </c>
      <c r="C38" s="15" t="n">
        <v>6</v>
      </c>
      <c r="D38" s="15" t="n">
        <v>5</v>
      </c>
      <c r="E38" s="4" t="n">
        <v>-11</v>
      </c>
      <c r="F38" s="4" t="s">
        <v>131</v>
      </c>
      <c r="G38" s="11" t="n">
        <v>46266</v>
      </c>
    </row>
    <row r="39" customFormat="false" ht="15" hidden="false" customHeight="true" outlineLevel="0" collapsed="false">
      <c r="A39" s="10" t="n">
        <v>35</v>
      </c>
      <c r="B39" s="15" t="n">
        <v>9</v>
      </c>
      <c r="C39" s="15" t="n">
        <v>5</v>
      </c>
      <c r="D39" s="15" t="n">
        <v>4</v>
      </c>
      <c r="E39" s="4" t="n">
        <v>-12</v>
      </c>
      <c r="F39" s="4" t="s">
        <v>131</v>
      </c>
      <c r="G39" s="11" t="n">
        <v>46267</v>
      </c>
    </row>
    <row r="40" customFormat="false" ht="15" hidden="false" customHeight="true" outlineLevel="0" collapsed="false">
      <c r="A40" s="10" t="n">
        <v>36</v>
      </c>
      <c r="B40" s="15" t="n">
        <v>9</v>
      </c>
      <c r="C40" s="15" t="n">
        <v>2</v>
      </c>
      <c r="D40" s="15" t="n">
        <v>9</v>
      </c>
      <c r="E40" s="4" t="n">
        <v>-3</v>
      </c>
      <c r="F40" s="4" t="s">
        <v>131</v>
      </c>
      <c r="G40" s="11" t="n">
        <v>46275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6"/>
    <col collapsed="false" customWidth="true" hidden="false" outlineLevel="0" max="4" min="4" style="1" width="30"/>
    <col collapsed="false" customWidth="true" hidden="false" outlineLevel="0" max="6" min="5" style="1" width="10"/>
    <col collapsed="false" customWidth="true" hidden="false" outlineLevel="0" max="7" min="7" style="1" width="14"/>
    <col collapsed="false" customWidth="true" hidden="false" outlineLevel="0" max="8" min="8" style="1" width="26"/>
    <col collapsed="false" customWidth="true" hidden="false" outlineLevel="0" max="10" min="9" style="1" width="16"/>
    <col collapsed="false" customWidth="true" hidden="false" outlineLevel="0" max="11" min="11" style="1" width="12"/>
    <col collapsed="false" customWidth="true" hidden="false" outlineLevel="0" max="12" min="12" style="1" width="16"/>
  </cols>
  <sheetData>
    <row r="1" customFormat="false" ht="17.25" hidden="false" customHeight="true" outlineLevel="0" collapsed="false">
      <c r="A1" s="2" t="s">
        <v>133</v>
      </c>
    </row>
    <row r="2" customFormat="false" ht="15" hidden="false" customHeight="true" outlineLevel="0" collapsed="false">
      <c r="A2" s="7" t="s">
        <v>134</v>
      </c>
    </row>
    <row r="4" customFormat="false" ht="15" hidden="false" customHeight="true" outlineLevel="0" collapsed="false">
      <c r="A4" s="13" t="s">
        <v>37</v>
      </c>
      <c r="B4" s="3" t="s">
        <v>38</v>
      </c>
      <c r="C4" s="3" t="s">
        <v>39</v>
      </c>
      <c r="D4" s="3" t="s">
        <v>135</v>
      </c>
      <c r="E4" s="3" t="s">
        <v>136</v>
      </c>
      <c r="F4" s="3" t="s">
        <v>99</v>
      </c>
      <c r="G4" s="3" t="s">
        <v>137</v>
      </c>
      <c r="H4" s="3" t="s">
        <v>138</v>
      </c>
      <c r="I4" s="3" t="s">
        <v>139</v>
      </c>
      <c r="J4" s="3" t="s">
        <v>140</v>
      </c>
      <c r="K4" s="3" t="s">
        <v>43</v>
      </c>
      <c r="L4" s="3" t="s">
        <v>141</v>
      </c>
    </row>
    <row r="5" customFormat="false" ht="15" hidden="false" customHeight="true" outlineLevel="0" collapsed="false">
      <c r="A5" s="10" t="n">
        <v>1</v>
      </c>
      <c r="B5" s="4" t="s">
        <v>142</v>
      </c>
      <c r="C5" s="4" t="s">
        <v>143</v>
      </c>
      <c r="D5" s="4" t="s">
        <v>144</v>
      </c>
      <c r="E5" s="4" t="s">
        <v>145</v>
      </c>
      <c r="F5" s="4" t="s">
        <v>146</v>
      </c>
      <c r="G5" s="4" t="s">
        <v>147</v>
      </c>
      <c r="H5" s="4" t="s">
        <v>148</v>
      </c>
      <c r="I5" s="16" t="n">
        <v>46274.2090277778</v>
      </c>
      <c r="J5" s="16" t="n">
        <v>46274.2159722222</v>
      </c>
      <c r="K5" s="11" t="n">
        <v>46204</v>
      </c>
      <c r="L5" s="16" t="n">
        <v>46274.2090277778</v>
      </c>
    </row>
    <row r="6" customFormat="false" ht="15" hidden="false" customHeight="true" outlineLevel="0" collapsed="false">
      <c r="A6" s="10" t="n">
        <v>2</v>
      </c>
      <c r="B6" s="4" t="s">
        <v>149</v>
      </c>
      <c r="C6" s="4" t="s">
        <v>150</v>
      </c>
      <c r="D6" s="4" t="s">
        <v>151</v>
      </c>
      <c r="E6" s="4" t="s">
        <v>152</v>
      </c>
      <c r="F6" s="4" t="s">
        <v>146</v>
      </c>
      <c r="G6" s="4" t="s">
        <v>153</v>
      </c>
      <c r="H6" s="4" t="s">
        <v>154</v>
      </c>
      <c r="I6" s="16" t="n">
        <v>46274.1847222222</v>
      </c>
      <c r="J6" s="16" t="n">
        <v>46274.1916666667</v>
      </c>
      <c r="K6" s="11" t="n">
        <v>46204</v>
      </c>
      <c r="L6" s="16" t="n">
        <v>46274.1847222222</v>
      </c>
    </row>
    <row r="7" customFormat="false" ht="15" hidden="false" customHeight="true" outlineLevel="0" collapsed="false">
      <c r="A7" s="10" t="n">
        <v>3</v>
      </c>
      <c r="B7" s="4" t="s">
        <v>155</v>
      </c>
      <c r="C7" s="4" t="s">
        <v>156</v>
      </c>
      <c r="D7" s="4" t="s">
        <v>157</v>
      </c>
      <c r="E7" s="4" t="s">
        <v>158</v>
      </c>
      <c r="F7" s="4" t="s">
        <v>159</v>
      </c>
      <c r="G7" s="4" t="s">
        <v>160</v>
      </c>
      <c r="H7" s="4" t="s">
        <v>148</v>
      </c>
      <c r="I7" s="16" t="n">
        <v>46274.1819444444</v>
      </c>
      <c r="J7" s="16" t="n">
        <v>46274.1888888889</v>
      </c>
      <c r="K7" s="11" t="n">
        <v>46204</v>
      </c>
      <c r="L7" s="16" t="n">
        <v>46274.1819444444</v>
      </c>
    </row>
    <row r="8" customFormat="false" ht="15" hidden="false" customHeight="true" outlineLevel="0" collapsed="false">
      <c r="A8" s="10" t="n">
        <v>4</v>
      </c>
      <c r="B8" s="4" t="s">
        <v>161</v>
      </c>
      <c r="C8" s="4" t="s">
        <v>162</v>
      </c>
      <c r="D8" s="4" t="s">
        <v>163</v>
      </c>
      <c r="E8" s="4" t="s">
        <v>164</v>
      </c>
      <c r="F8" s="4" t="s">
        <v>146</v>
      </c>
      <c r="G8" s="4" t="s">
        <v>165</v>
      </c>
      <c r="H8" s="4" t="s">
        <v>166</v>
      </c>
      <c r="I8" s="16" t="n">
        <v>46274.1770833333</v>
      </c>
      <c r="J8" s="16" t="n">
        <v>46274.1840277778</v>
      </c>
      <c r="K8" s="11" t="n">
        <v>46204</v>
      </c>
      <c r="L8" s="16" t="n">
        <v>46274.1770833333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4" min="3" style="1" width="10"/>
    <col collapsed="false" customWidth="true" hidden="false" outlineLevel="0" max="6" min="5" style="1" width="16"/>
    <col collapsed="false" customWidth="true" hidden="false" outlineLevel="0" max="7" min="7" style="1" width="12"/>
    <col collapsed="false" customWidth="true" hidden="false" outlineLevel="0" max="9" min="8" style="1" width="14"/>
    <col collapsed="false" customWidth="true" hidden="false" outlineLevel="0" max="10" min="10" style="1" width="24"/>
    <col collapsed="false" customWidth="true" hidden="false" outlineLevel="0" max="11" min="11" style="1" width="16"/>
  </cols>
  <sheetData>
    <row r="1" customFormat="false" ht="17.25" hidden="false" customHeight="true" outlineLevel="0" collapsed="false">
      <c r="A1" s="2" t="s">
        <v>167</v>
      </c>
    </row>
    <row r="2" customFormat="false" ht="15" hidden="false" customHeight="true" outlineLevel="0" collapsed="false">
      <c r="A2" s="7" t="s">
        <v>168</v>
      </c>
    </row>
    <row r="4" customFormat="false" ht="15" hidden="false" customHeight="true" outlineLevel="0" collapsed="false">
      <c r="A4" s="13" t="s">
        <v>37</v>
      </c>
      <c r="B4" s="14" t="s">
        <v>169</v>
      </c>
      <c r="C4" s="3" t="s">
        <v>99</v>
      </c>
      <c r="D4" s="3" t="s">
        <v>170</v>
      </c>
      <c r="E4" s="3" t="s">
        <v>171</v>
      </c>
      <c r="F4" s="3" t="s">
        <v>172</v>
      </c>
      <c r="G4" s="3" t="s">
        <v>173</v>
      </c>
      <c r="H4" s="3" t="s">
        <v>174</v>
      </c>
      <c r="I4" s="3" t="s">
        <v>175</v>
      </c>
      <c r="J4" s="3" t="s">
        <v>176</v>
      </c>
      <c r="K4" s="3" t="s">
        <v>43</v>
      </c>
    </row>
    <row r="5" customFormat="false" ht="15" hidden="false" customHeight="true" outlineLevel="0" collapsed="false">
      <c r="A5" s="10" t="n">
        <v>1</v>
      </c>
      <c r="B5" s="15" t="n">
        <v>1</v>
      </c>
      <c r="C5" s="4" t="s">
        <v>177</v>
      </c>
      <c r="D5" s="4" t="s">
        <v>178</v>
      </c>
      <c r="E5" s="16" t="n">
        <v>46274.1402777778</v>
      </c>
      <c r="F5" s="16" t="n">
        <v>46274.140317257</v>
      </c>
      <c r="G5" s="4" t="n">
        <v>3411</v>
      </c>
      <c r="H5" s="4" t="s">
        <v>148</v>
      </c>
      <c r="I5" s="4" t="s">
        <v>179</v>
      </c>
      <c r="J5" s="4"/>
      <c r="K5" s="16" t="n">
        <v>46274.1402777778</v>
      </c>
    </row>
    <row r="6" customFormat="false" ht="15" hidden="false" customHeight="true" outlineLevel="0" collapsed="false">
      <c r="A6" s="10" t="n">
        <v>2</v>
      </c>
      <c r="B6" s="15" t="n">
        <v>2</v>
      </c>
      <c r="C6" s="4" t="s">
        <v>180</v>
      </c>
      <c r="D6" s="4" t="s">
        <v>181</v>
      </c>
      <c r="E6" s="16" t="n">
        <v>46274.2090277778</v>
      </c>
      <c r="F6" s="16" t="n">
        <v>46274.2090428009</v>
      </c>
      <c r="G6" s="4" t="n">
        <v>1298</v>
      </c>
      <c r="H6" s="4" t="s">
        <v>148</v>
      </c>
      <c r="I6" s="4" t="s">
        <v>148</v>
      </c>
      <c r="J6" s="4"/>
      <c r="K6" s="16" t="n">
        <v>46274.2090277778</v>
      </c>
    </row>
    <row r="7" customFormat="false" ht="15" hidden="false" customHeight="true" outlineLevel="0" collapsed="false">
      <c r="A7" s="10" t="n">
        <v>3</v>
      </c>
      <c r="B7" s="15" t="n">
        <v>3</v>
      </c>
      <c r="C7" s="4" t="s">
        <v>180</v>
      </c>
      <c r="D7" s="4" t="s">
        <v>182</v>
      </c>
      <c r="E7" s="16" t="n">
        <v>46274.2145833333</v>
      </c>
      <c r="F7" s="16" t="n">
        <v>46274.2146772107</v>
      </c>
      <c r="G7" s="4" t="n">
        <v>8111</v>
      </c>
      <c r="H7" s="4" t="s">
        <v>148</v>
      </c>
      <c r="I7" s="4" t="s">
        <v>148</v>
      </c>
      <c r="J7" s="4"/>
      <c r="K7" s="16" t="n">
        <v>46274.2145833333</v>
      </c>
    </row>
    <row r="8" customFormat="false" ht="15" hidden="false" customHeight="true" outlineLevel="0" collapsed="false">
      <c r="A8" s="10" t="n">
        <v>4</v>
      </c>
      <c r="B8" s="15" t="n">
        <v>4</v>
      </c>
      <c r="C8" s="4" t="s">
        <v>177</v>
      </c>
      <c r="D8" s="4" t="s">
        <v>181</v>
      </c>
      <c r="E8" s="16" t="n">
        <v>46274.2097222222</v>
      </c>
      <c r="F8" s="16" t="n">
        <v>46274.2098219907</v>
      </c>
      <c r="G8" s="4" t="n">
        <v>8620</v>
      </c>
      <c r="H8" s="4" t="s">
        <v>148</v>
      </c>
      <c r="I8" s="4" t="s">
        <v>179</v>
      </c>
      <c r="J8" s="4"/>
      <c r="K8" s="16" t="n">
        <v>46274.2097222222</v>
      </c>
    </row>
    <row r="9" customFormat="false" ht="15" hidden="false" customHeight="true" outlineLevel="0" collapsed="false">
      <c r="A9" s="10" t="n">
        <v>5</v>
      </c>
      <c r="B9" s="15" t="n">
        <v>1</v>
      </c>
      <c r="C9" s="4" t="s">
        <v>180</v>
      </c>
      <c r="D9" s="4" t="s">
        <v>181</v>
      </c>
      <c r="E9" s="16" t="n">
        <v>46273.2013888889</v>
      </c>
      <c r="F9" s="16" t="n">
        <v>46273.2014052431</v>
      </c>
      <c r="G9" s="4" t="n">
        <v>1413</v>
      </c>
      <c r="H9" s="4" t="s">
        <v>148</v>
      </c>
      <c r="I9" s="4" t="s">
        <v>148</v>
      </c>
      <c r="J9" s="4"/>
      <c r="K9" s="16" t="n">
        <v>46273.2013888889</v>
      </c>
    </row>
    <row r="10" customFormat="false" ht="15" hidden="false" customHeight="true" outlineLevel="0" collapsed="false">
      <c r="A10" s="10" t="n">
        <v>6</v>
      </c>
      <c r="B10" s="15" t="n">
        <v>2</v>
      </c>
      <c r="C10" s="4" t="s">
        <v>180</v>
      </c>
      <c r="D10" s="4" t="s">
        <v>178</v>
      </c>
      <c r="E10" s="16" t="n">
        <v>46273.1652777778</v>
      </c>
      <c r="F10" s="16" t="n">
        <v>46273.1653279282</v>
      </c>
      <c r="G10" s="4" t="n">
        <v>4333</v>
      </c>
      <c r="H10" s="4" t="s">
        <v>148</v>
      </c>
      <c r="I10" s="4" t="s">
        <v>148</v>
      </c>
      <c r="J10" s="4"/>
      <c r="K10" s="16" t="n">
        <v>46273.1652777778</v>
      </c>
    </row>
    <row r="11" customFormat="false" ht="15" hidden="false" customHeight="true" outlineLevel="0" collapsed="false">
      <c r="A11" s="10" t="n">
        <v>7</v>
      </c>
      <c r="B11" s="15" t="n">
        <v>3</v>
      </c>
      <c r="C11" s="4" t="s">
        <v>177</v>
      </c>
      <c r="D11" s="4" t="s">
        <v>182</v>
      </c>
      <c r="E11" s="16" t="n">
        <v>46273.1923611111</v>
      </c>
      <c r="F11" s="16" t="n">
        <v>46273.1924440741</v>
      </c>
      <c r="G11" s="4" t="n">
        <v>7168</v>
      </c>
      <c r="H11" s="4" t="s">
        <v>148</v>
      </c>
      <c r="I11" s="4" t="s">
        <v>179</v>
      </c>
      <c r="J11" s="4"/>
      <c r="K11" s="16" t="n">
        <v>46273.1923611111</v>
      </c>
    </row>
    <row r="12" customFormat="false" ht="15" hidden="false" customHeight="true" outlineLevel="0" collapsed="false">
      <c r="A12" s="10" t="n">
        <v>8</v>
      </c>
      <c r="B12" s="15" t="n">
        <v>4</v>
      </c>
      <c r="C12" s="4" t="s">
        <v>177</v>
      </c>
      <c r="D12" s="4" t="s">
        <v>183</v>
      </c>
      <c r="E12" s="16" t="n">
        <v>46273.0645833333</v>
      </c>
      <c r="F12" s="16" t="n">
        <v>46273.0646255324</v>
      </c>
      <c r="G12" s="4" t="n">
        <v>3646</v>
      </c>
      <c r="H12" s="4" t="s">
        <v>148</v>
      </c>
      <c r="I12" s="4" t="s">
        <v>179</v>
      </c>
      <c r="J12" s="4"/>
      <c r="K12" s="16" t="n">
        <v>46273.0645833333</v>
      </c>
    </row>
    <row r="13" customFormat="false" ht="15" hidden="false" customHeight="true" outlineLevel="0" collapsed="false">
      <c r="A13" s="10" t="n">
        <v>9</v>
      </c>
      <c r="B13" s="15" t="n">
        <v>1</v>
      </c>
      <c r="C13" s="4" t="s">
        <v>180</v>
      </c>
      <c r="D13" s="4" t="s">
        <v>181</v>
      </c>
      <c r="E13" s="16" t="n">
        <v>46272.0618055556</v>
      </c>
      <c r="F13" s="16" t="n">
        <v>46272.0618840741</v>
      </c>
      <c r="G13" s="4" t="n">
        <v>6784</v>
      </c>
      <c r="H13" s="4" t="s">
        <v>148</v>
      </c>
      <c r="I13" s="4" t="s">
        <v>148</v>
      </c>
      <c r="J13" s="4"/>
      <c r="K13" s="16" t="n">
        <v>46272.0618055556</v>
      </c>
    </row>
    <row r="14" customFormat="false" ht="15" hidden="false" customHeight="true" outlineLevel="0" collapsed="false">
      <c r="A14" s="10" t="n">
        <v>10</v>
      </c>
      <c r="B14" s="15" t="n">
        <v>2</v>
      </c>
      <c r="C14" s="4" t="s">
        <v>180</v>
      </c>
      <c r="D14" s="4" t="s">
        <v>183</v>
      </c>
      <c r="E14" s="16" t="n">
        <v>46271.925</v>
      </c>
      <c r="F14" s="16" t="n">
        <v>46271.9250634259</v>
      </c>
      <c r="G14" s="4" t="n">
        <v>5480</v>
      </c>
      <c r="H14" s="4" t="s">
        <v>148</v>
      </c>
      <c r="I14" s="4" t="s">
        <v>148</v>
      </c>
      <c r="J14" s="4"/>
      <c r="K14" s="16" t="n">
        <v>46271.925</v>
      </c>
    </row>
    <row r="15" customFormat="false" ht="15" hidden="false" customHeight="true" outlineLevel="0" collapsed="false">
      <c r="A15" s="10" t="n">
        <v>11</v>
      </c>
      <c r="B15" s="15" t="n">
        <v>3</v>
      </c>
      <c r="C15" s="4" t="s">
        <v>180</v>
      </c>
      <c r="D15" s="4" t="s">
        <v>182</v>
      </c>
      <c r="E15" s="16" t="n">
        <v>46271.9243055556</v>
      </c>
      <c r="F15" s="16" t="n">
        <v>46271.9243279861</v>
      </c>
      <c r="G15" s="4" t="n">
        <v>1938</v>
      </c>
      <c r="H15" s="4" t="s">
        <v>148</v>
      </c>
      <c r="I15" s="4" t="s">
        <v>148</v>
      </c>
      <c r="J15" s="4"/>
      <c r="K15" s="16" t="n">
        <v>46271.9243055556</v>
      </c>
    </row>
    <row r="16" customFormat="false" ht="15" hidden="false" customHeight="true" outlineLevel="0" collapsed="false">
      <c r="A16" s="10" t="n">
        <v>12</v>
      </c>
      <c r="B16" s="15" t="n">
        <v>4</v>
      </c>
      <c r="C16" s="4" t="s">
        <v>180</v>
      </c>
      <c r="D16" s="4" t="s">
        <v>181</v>
      </c>
      <c r="E16" s="16" t="n">
        <v>46271.8902777778</v>
      </c>
      <c r="F16" s="16" t="n">
        <v>46271.8903315394</v>
      </c>
      <c r="G16" s="4" t="n">
        <v>4645</v>
      </c>
      <c r="H16" s="4" t="s">
        <v>148</v>
      </c>
      <c r="I16" s="4" t="s">
        <v>148</v>
      </c>
      <c r="J16" s="4"/>
      <c r="K16" s="16" t="n">
        <v>46271.8902777778</v>
      </c>
    </row>
    <row r="17" customFormat="false" ht="15" hidden="false" customHeight="true" outlineLevel="0" collapsed="false">
      <c r="A17" s="10" t="n">
        <v>13</v>
      </c>
      <c r="B17" s="15" t="n">
        <v>1</v>
      </c>
      <c r="C17" s="4" t="s">
        <v>180</v>
      </c>
      <c r="D17" s="4" t="s">
        <v>183</v>
      </c>
      <c r="E17" s="16" t="n">
        <v>46271.2013888889</v>
      </c>
      <c r="F17" s="16" t="n">
        <v>46271.2014386806</v>
      </c>
      <c r="G17" s="4" t="n">
        <v>4302</v>
      </c>
      <c r="H17" s="4" t="s">
        <v>148</v>
      </c>
      <c r="I17" s="4" t="s">
        <v>148</v>
      </c>
      <c r="J17" s="4"/>
      <c r="K17" s="16" t="n">
        <v>46271.2013888889</v>
      </c>
    </row>
    <row r="18" customFormat="false" ht="15" hidden="false" customHeight="true" outlineLevel="0" collapsed="false">
      <c r="A18" s="10" t="n">
        <v>14</v>
      </c>
      <c r="B18" s="15" t="n">
        <v>2</v>
      </c>
      <c r="C18" s="4" t="s">
        <v>180</v>
      </c>
      <c r="D18" s="4" t="s">
        <v>183</v>
      </c>
      <c r="E18" s="16" t="n">
        <v>46271.1381944444</v>
      </c>
      <c r="F18" s="16" t="n">
        <v>46271.1382810069</v>
      </c>
      <c r="G18" s="4" t="n">
        <v>7479</v>
      </c>
      <c r="H18" s="4" t="s">
        <v>148</v>
      </c>
      <c r="I18" s="4" t="s">
        <v>148</v>
      </c>
      <c r="J18" s="4"/>
      <c r="K18" s="16" t="n">
        <v>46271.1381944444</v>
      </c>
    </row>
    <row r="19" customFormat="false" ht="15" hidden="false" customHeight="true" outlineLevel="0" collapsed="false">
      <c r="A19" s="10" t="n">
        <v>15</v>
      </c>
      <c r="B19" s="15" t="n">
        <v>3</v>
      </c>
      <c r="C19" s="4" t="s">
        <v>177</v>
      </c>
      <c r="D19" s="4" t="s">
        <v>183</v>
      </c>
      <c r="E19" s="16" t="n">
        <v>46270.8743055556</v>
      </c>
      <c r="F19" s="16" t="n">
        <v>46270.8743105093</v>
      </c>
      <c r="G19" s="4" t="n">
        <v>428</v>
      </c>
      <c r="H19" s="4" t="s">
        <v>148</v>
      </c>
      <c r="I19" s="4" t="s">
        <v>179</v>
      </c>
      <c r="J19" s="4"/>
      <c r="K19" s="16" t="n">
        <v>46270.8743055556</v>
      </c>
    </row>
    <row r="20" customFormat="false" ht="15" hidden="false" customHeight="true" outlineLevel="0" collapsed="false">
      <c r="A20" s="10" t="n">
        <v>16</v>
      </c>
      <c r="B20" s="15" t="n">
        <v>4</v>
      </c>
      <c r="C20" s="4" t="s">
        <v>177</v>
      </c>
      <c r="D20" s="4" t="s">
        <v>183</v>
      </c>
      <c r="E20" s="16" t="n">
        <v>46271.1763888889</v>
      </c>
      <c r="F20" s="16" t="n">
        <v>46271.1764178241</v>
      </c>
      <c r="G20" s="4" t="n">
        <v>2500</v>
      </c>
      <c r="H20" s="4" t="s">
        <v>148</v>
      </c>
      <c r="I20" s="4" t="s">
        <v>179</v>
      </c>
      <c r="J20" s="4"/>
      <c r="K20" s="16" t="n">
        <v>46271.1763888889</v>
      </c>
    </row>
    <row r="21" customFormat="false" ht="15" hidden="false" customHeight="true" outlineLevel="0" collapsed="false">
      <c r="A21" s="10" t="n">
        <v>17</v>
      </c>
      <c r="B21" s="15" t="n">
        <v>1</v>
      </c>
      <c r="C21" s="4" t="s">
        <v>180</v>
      </c>
      <c r="D21" s="4" t="s">
        <v>182</v>
      </c>
      <c r="E21" s="16" t="n">
        <v>46270.1743055556</v>
      </c>
      <c r="F21" s="16" t="n">
        <v>46270.1743384954</v>
      </c>
      <c r="G21" s="4" t="n">
        <v>2846</v>
      </c>
      <c r="H21" s="4" t="s">
        <v>148</v>
      </c>
      <c r="I21" s="4" t="s">
        <v>148</v>
      </c>
      <c r="J21" s="4"/>
      <c r="K21" s="16" t="n">
        <v>46270.1743055556</v>
      </c>
    </row>
    <row r="22" customFormat="false" ht="15" hidden="false" customHeight="true" outlineLevel="0" collapsed="false">
      <c r="A22" s="10" t="n">
        <v>18</v>
      </c>
      <c r="B22" s="15" t="n">
        <v>2</v>
      </c>
      <c r="C22" s="4" t="s">
        <v>180</v>
      </c>
      <c r="D22" s="4" t="s">
        <v>183</v>
      </c>
      <c r="E22" s="16" t="n">
        <v>46270.1006944445</v>
      </c>
      <c r="F22" s="16" t="n">
        <v>46270.1007629282</v>
      </c>
      <c r="G22" s="4" t="n">
        <v>5917</v>
      </c>
      <c r="H22" s="4" t="s">
        <v>148</v>
      </c>
      <c r="I22" s="4" t="s">
        <v>148</v>
      </c>
      <c r="J22" s="4"/>
      <c r="K22" s="16" t="n">
        <v>46270.1006944445</v>
      </c>
    </row>
    <row r="23" customFormat="false" ht="15" hidden="false" customHeight="true" outlineLevel="0" collapsed="false">
      <c r="A23" s="10" t="n">
        <v>19</v>
      </c>
      <c r="B23" s="15" t="n">
        <v>3</v>
      </c>
      <c r="C23" s="4" t="s">
        <v>180</v>
      </c>
      <c r="D23" s="4" t="s">
        <v>183</v>
      </c>
      <c r="E23" s="16" t="n">
        <v>46269.8909722222</v>
      </c>
      <c r="F23" s="16" t="n">
        <v>46269.8910683333</v>
      </c>
      <c r="G23" s="4" t="n">
        <v>8304</v>
      </c>
      <c r="H23" s="4" t="s">
        <v>148</v>
      </c>
      <c r="I23" s="4" t="s">
        <v>148</v>
      </c>
      <c r="J23" s="4"/>
      <c r="K23" s="16" t="n">
        <v>46269.8909722222</v>
      </c>
    </row>
    <row r="24" customFormat="false" ht="15" hidden="false" customHeight="true" outlineLevel="0" collapsed="false">
      <c r="A24" s="10" t="n">
        <v>20</v>
      </c>
      <c r="B24" s="15" t="n">
        <v>4</v>
      </c>
      <c r="C24" s="4" t="s">
        <v>180</v>
      </c>
      <c r="D24" s="4" t="s">
        <v>182</v>
      </c>
      <c r="E24" s="16" t="n">
        <v>46270.1847222222</v>
      </c>
      <c r="F24" s="16" t="n">
        <v>46270.184806007</v>
      </c>
      <c r="G24" s="4" t="n">
        <v>7239</v>
      </c>
      <c r="H24" s="4" t="s">
        <v>148</v>
      </c>
      <c r="I24" s="4" t="s">
        <v>148</v>
      </c>
      <c r="J24" s="4"/>
      <c r="K24" s="16" t="n">
        <v>46270.1847222222</v>
      </c>
    </row>
    <row r="25" customFormat="false" ht="15" hidden="false" customHeight="true" outlineLevel="0" collapsed="false">
      <c r="A25" s="10" t="n">
        <v>21</v>
      </c>
      <c r="B25" s="15" t="n">
        <v>1</v>
      </c>
      <c r="C25" s="4" t="s">
        <v>180</v>
      </c>
      <c r="D25" s="4" t="s">
        <v>182</v>
      </c>
      <c r="E25" s="16" t="n">
        <v>46269.2479166667</v>
      </c>
      <c r="F25" s="16" t="n">
        <v>46269.2479833796</v>
      </c>
      <c r="G25" s="4" t="n">
        <v>5764</v>
      </c>
      <c r="H25" s="4" t="s">
        <v>148</v>
      </c>
      <c r="I25" s="4" t="s">
        <v>148</v>
      </c>
      <c r="J25" s="4"/>
      <c r="K25" s="16" t="n">
        <v>46269.2479166667</v>
      </c>
    </row>
    <row r="26" customFormat="false" ht="15" hidden="false" customHeight="true" outlineLevel="0" collapsed="false">
      <c r="A26" s="10" t="n">
        <v>22</v>
      </c>
      <c r="B26" s="15" t="n">
        <v>2</v>
      </c>
      <c r="C26" s="4" t="s">
        <v>180</v>
      </c>
      <c r="D26" s="4" t="s">
        <v>183</v>
      </c>
      <c r="E26" s="16" t="n">
        <v>46269.1354166667</v>
      </c>
      <c r="F26" s="16" t="n">
        <v>46269.1355039236</v>
      </c>
      <c r="G26" s="4" t="n">
        <v>7539</v>
      </c>
      <c r="H26" s="4" t="s">
        <v>148</v>
      </c>
      <c r="I26" s="4" t="s">
        <v>148</v>
      </c>
      <c r="J26" s="4"/>
      <c r="K26" s="16" t="n">
        <v>46269.1354166667</v>
      </c>
    </row>
    <row r="27" customFormat="false" ht="15" hidden="false" customHeight="true" outlineLevel="0" collapsed="false">
      <c r="A27" s="10" t="n">
        <v>23</v>
      </c>
      <c r="B27" s="15" t="n">
        <v>3</v>
      </c>
      <c r="C27" s="4" t="s">
        <v>177</v>
      </c>
      <c r="D27" s="4" t="s">
        <v>178</v>
      </c>
      <c r="E27" s="16" t="n">
        <v>46268.8513888889</v>
      </c>
      <c r="F27" s="16" t="n">
        <v>46268.8513941898</v>
      </c>
      <c r="G27" s="4" t="n">
        <v>458</v>
      </c>
      <c r="H27" s="4" t="s">
        <v>148</v>
      </c>
      <c r="I27" s="4" t="s">
        <v>179</v>
      </c>
      <c r="J27" s="4"/>
      <c r="K27" s="16" t="n">
        <v>46268.8513888889</v>
      </c>
    </row>
    <row r="28" customFormat="false" ht="15" hidden="false" customHeight="true" outlineLevel="0" collapsed="false">
      <c r="A28" s="10" t="n">
        <v>24</v>
      </c>
      <c r="B28" s="15" t="n">
        <v>4</v>
      </c>
      <c r="C28" s="4" t="s">
        <v>180</v>
      </c>
      <c r="D28" s="4" t="s">
        <v>182</v>
      </c>
      <c r="E28" s="16" t="n">
        <v>46269.1444444444</v>
      </c>
      <c r="F28" s="16" t="n">
        <v>46269.1444547454</v>
      </c>
      <c r="G28" s="4" t="n">
        <v>890</v>
      </c>
      <c r="H28" s="4" t="s">
        <v>148</v>
      </c>
      <c r="I28" s="4" t="s">
        <v>148</v>
      </c>
      <c r="J28" s="4"/>
      <c r="K28" s="16" t="n">
        <v>46269.1444444444</v>
      </c>
    </row>
    <row r="29" customFormat="false" ht="15" hidden="false" customHeight="true" outlineLevel="0" collapsed="false">
      <c r="A29" s="10" t="n">
        <v>25</v>
      </c>
      <c r="B29" s="15" t="n">
        <v>1</v>
      </c>
      <c r="C29" s="4" t="s">
        <v>180</v>
      </c>
      <c r="D29" s="4" t="s">
        <v>181</v>
      </c>
      <c r="E29" s="16" t="n">
        <v>46267.9444444445</v>
      </c>
      <c r="F29" s="16" t="n">
        <v>46267.9444720833</v>
      </c>
      <c r="G29" s="4" t="n">
        <v>2388</v>
      </c>
      <c r="H29" s="4" t="s">
        <v>148</v>
      </c>
      <c r="I29" s="4" t="s">
        <v>148</v>
      </c>
      <c r="J29" s="4"/>
      <c r="K29" s="16" t="n">
        <v>46267.9444444445</v>
      </c>
    </row>
    <row r="30" customFormat="false" ht="15" hidden="false" customHeight="true" outlineLevel="0" collapsed="false">
      <c r="A30" s="10" t="n">
        <v>26</v>
      </c>
      <c r="B30" s="15" t="n">
        <v>2</v>
      </c>
      <c r="C30" s="4" t="s">
        <v>180</v>
      </c>
      <c r="D30" s="4" t="s">
        <v>183</v>
      </c>
      <c r="E30" s="16" t="n">
        <v>46267.9909722222</v>
      </c>
      <c r="F30" s="16" t="n">
        <v>46267.9909832523</v>
      </c>
      <c r="G30" s="4" t="n">
        <v>953</v>
      </c>
      <c r="H30" s="4" t="s">
        <v>148</v>
      </c>
      <c r="I30" s="4" t="s">
        <v>148</v>
      </c>
      <c r="J30" s="4"/>
      <c r="K30" s="16" t="n">
        <v>46267.9909722222</v>
      </c>
    </row>
    <row r="31" customFormat="false" ht="15" hidden="false" customHeight="true" outlineLevel="0" collapsed="false">
      <c r="A31" s="10" t="n">
        <v>27</v>
      </c>
      <c r="B31" s="15" t="n">
        <v>3</v>
      </c>
      <c r="C31" s="4" t="s">
        <v>180</v>
      </c>
      <c r="D31" s="4" t="s">
        <v>181</v>
      </c>
      <c r="E31" s="16" t="n">
        <v>46268.0729166667</v>
      </c>
      <c r="F31" s="16" t="n">
        <v>46268.0729396296</v>
      </c>
      <c r="G31" s="4" t="n">
        <v>1984</v>
      </c>
      <c r="H31" s="4" t="s">
        <v>148</v>
      </c>
      <c r="I31" s="4" t="s">
        <v>148</v>
      </c>
      <c r="J31" s="4"/>
      <c r="K31" s="16" t="n">
        <v>46268.0729166667</v>
      </c>
    </row>
    <row r="32" customFormat="false" ht="15" hidden="false" customHeight="true" outlineLevel="0" collapsed="false">
      <c r="A32" s="10" t="n">
        <v>28</v>
      </c>
      <c r="B32" s="15" t="n">
        <v>4</v>
      </c>
      <c r="C32" s="4" t="s">
        <v>180</v>
      </c>
      <c r="D32" s="4" t="s">
        <v>178</v>
      </c>
      <c r="E32" s="16" t="n">
        <v>46268.1402777778</v>
      </c>
      <c r="F32" s="16" t="n">
        <v>46268.1403261343</v>
      </c>
      <c r="G32" s="4" t="n">
        <v>4178</v>
      </c>
      <c r="H32" s="4" t="s">
        <v>148</v>
      </c>
      <c r="I32" s="4" t="s">
        <v>148</v>
      </c>
      <c r="J32" s="4"/>
      <c r="K32" s="16" t="n">
        <v>46268.1402777778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22"/>
    <col collapsed="false" customWidth="true" hidden="false" outlineLevel="0" max="4" min="4" style="1" width="36"/>
    <col collapsed="false" customWidth="true" hidden="false" outlineLevel="0" max="6" min="5" style="1" width="14"/>
    <col collapsed="false" customWidth="true" hidden="false" outlineLevel="0" max="7" min="7" style="1" width="12"/>
    <col collapsed="false" customWidth="true" hidden="false" outlineLevel="0" max="8" min="8" style="1" width="16"/>
  </cols>
  <sheetData>
    <row r="1" customFormat="false" ht="17.25" hidden="false" customHeight="true" outlineLevel="0" collapsed="false">
      <c r="A1" s="2" t="s">
        <v>19</v>
      </c>
    </row>
    <row r="2" customFormat="false" ht="15" hidden="false" customHeight="true" outlineLevel="0" collapsed="false">
      <c r="A2" s="7" t="s">
        <v>184</v>
      </c>
    </row>
    <row r="4" customFormat="false" ht="15" hidden="false" customHeight="true" outlineLevel="0" collapsed="false">
      <c r="A4" s="13" t="s">
        <v>37</v>
      </c>
      <c r="B4" s="3" t="s">
        <v>185</v>
      </c>
      <c r="C4" s="3" t="s">
        <v>186</v>
      </c>
      <c r="D4" s="3" t="s">
        <v>187</v>
      </c>
      <c r="E4" s="14" t="s">
        <v>188</v>
      </c>
      <c r="F4" s="14" t="s">
        <v>189</v>
      </c>
      <c r="G4" s="3" t="s">
        <v>190</v>
      </c>
      <c r="H4" s="3" t="s">
        <v>43</v>
      </c>
    </row>
    <row r="5" customFormat="false" ht="15" hidden="false" customHeight="true" outlineLevel="0" collapsed="false">
      <c r="A5" s="10" t="n">
        <v>1</v>
      </c>
      <c r="B5" s="4" t="s">
        <v>191</v>
      </c>
      <c r="C5" s="4" t="s">
        <v>192</v>
      </c>
      <c r="D5" s="4" t="s">
        <v>193</v>
      </c>
      <c r="E5" s="15" t="n">
        <v>3</v>
      </c>
      <c r="F5" s="15" t="n">
        <v>2</v>
      </c>
      <c r="G5" s="4" t="b">
        <f aca="false">FALSE()</f>
        <v>0</v>
      </c>
      <c r="H5" s="16" t="n">
        <v>46274.2083333333</v>
      </c>
    </row>
    <row r="6" customFormat="false" ht="15" hidden="false" customHeight="true" outlineLevel="0" collapsed="false">
      <c r="A6" s="10" t="n">
        <v>2</v>
      </c>
      <c r="B6" s="4" t="s">
        <v>191</v>
      </c>
      <c r="C6" s="4" t="s">
        <v>194</v>
      </c>
      <c r="D6" s="4" t="s">
        <v>195</v>
      </c>
      <c r="E6" s="15" t="n">
        <v>3</v>
      </c>
      <c r="F6" s="15" t="n">
        <v>5</v>
      </c>
      <c r="G6" s="4" t="b">
        <f aca="false">FALSE()</f>
        <v>0</v>
      </c>
      <c r="H6" s="16" t="n">
        <v>46274.1666666667</v>
      </c>
    </row>
    <row r="7" customFormat="false" ht="15" hidden="false" customHeight="true" outlineLevel="0" collapsed="false">
      <c r="A7" s="10" t="n">
        <v>3</v>
      </c>
      <c r="B7" s="4" t="s">
        <v>191</v>
      </c>
      <c r="C7" s="4" t="s">
        <v>196</v>
      </c>
      <c r="D7" s="4" t="s">
        <v>197</v>
      </c>
      <c r="E7" s="15" t="n">
        <v>3</v>
      </c>
      <c r="F7" s="15" t="n">
        <v>7</v>
      </c>
      <c r="G7" s="4" t="b">
        <f aca="false">FALSE()</f>
        <v>0</v>
      </c>
      <c r="H7" s="16" t="n">
        <v>46274.125</v>
      </c>
    </row>
    <row r="8" customFormat="false" ht="15" hidden="false" customHeight="true" outlineLevel="0" collapsed="false">
      <c r="A8" s="10" t="n">
        <v>4</v>
      </c>
      <c r="B8" s="4" t="s">
        <v>191</v>
      </c>
      <c r="C8" s="4" t="s">
        <v>198</v>
      </c>
      <c r="D8" s="4" t="s">
        <v>199</v>
      </c>
      <c r="E8" s="15" t="n">
        <v>3</v>
      </c>
      <c r="F8" s="15" t="n">
        <v>10</v>
      </c>
      <c r="G8" s="4" t="b">
        <f aca="false">FALSE()</f>
        <v>0</v>
      </c>
      <c r="H8" s="16" t="n">
        <v>46274.0833333333</v>
      </c>
    </row>
    <row r="9" customFormat="false" ht="15" hidden="false" customHeight="true" outlineLevel="0" collapsed="false">
      <c r="A9" s="10" t="n">
        <v>5</v>
      </c>
      <c r="B9" s="4" t="s">
        <v>200</v>
      </c>
      <c r="C9" s="4" t="s">
        <v>201</v>
      </c>
      <c r="D9" s="4" t="s">
        <v>202</v>
      </c>
      <c r="E9" s="15" t="n">
        <v>4</v>
      </c>
      <c r="F9" s="15"/>
      <c r="G9" s="4" t="b">
        <f aca="false">FALSE()</f>
        <v>0</v>
      </c>
      <c r="H9" s="16" t="n">
        <v>46274.0416666667</v>
      </c>
    </row>
    <row r="10" customFormat="false" ht="15" hidden="false" customHeight="true" outlineLevel="0" collapsed="false">
      <c r="A10" s="10" t="n">
        <v>6</v>
      </c>
      <c r="B10" s="4" t="s">
        <v>203</v>
      </c>
      <c r="C10" s="4" t="s">
        <v>204</v>
      </c>
      <c r="D10" s="4" t="s">
        <v>205</v>
      </c>
      <c r="E10" s="15" t="n">
        <v>3</v>
      </c>
      <c r="F10" s="15"/>
      <c r="G10" s="4" t="b">
        <f aca="false">FALSE()</f>
        <v>0</v>
      </c>
      <c r="H10" s="16" t="n">
        <v>46274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30"/>
    <col collapsed="false" customWidth="true" hidden="false" outlineLevel="0" max="7" min="7" style="1" width="16"/>
  </cols>
  <sheetData>
    <row r="1" customFormat="false" ht="17.25" hidden="false" customHeight="true" outlineLevel="0" collapsed="false">
      <c r="A1" s="2" t="s">
        <v>206</v>
      </c>
    </row>
    <row r="2" customFormat="false" ht="15" hidden="false" customHeight="true" outlineLevel="0" collapsed="false">
      <c r="A2" s="7" t="s">
        <v>207</v>
      </c>
    </row>
    <row r="4" customFormat="false" ht="15" hidden="false" customHeight="true" outlineLevel="0" collapsed="false">
      <c r="A4" s="13" t="s">
        <v>37</v>
      </c>
      <c r="B4" s="3" t="s">
        <v>208</v>
      </c>
      <c r="C4" s="3" t="s">
        <v>209</v>
      </c>
      <c r="D4" s="3" t="s">
        <v>210</v>
      </c>
      <c r="E4" s="3" t="s">
        <v>211</v>
      </c>
      <c r="F4" s="3" t="s">
        <v>212</v>
      </c>
      <c r="G4" s="3" t="s">
        <v>43</v>
      </c>
    </row>
    <row r="5" customFormat="false" ht="15" hidden="false" customHeight="true" outlineLevel="0" collapsed="false">
      <c r="A5" s="10" t="n">
        <v>1</v>
      </c>
      <c r="B5" s="4" t="s">
        <v>213</v>
      </c>
      <c r="C5" s="4" t="s">
        <v>214</v>
      </c>
      <c r="D5" s="4" t="s">
        <v>10</v>
      </c>
      <c r="E5" s="4" t="s">
        <v>215</v>
      </c>
      <c r="F5" s="4" t="s">
        <v>216</v>
      </c>
      <c r="G5" s="16" t="n">
        <v>46274.125</v>
      </c>
    </row>
    <row r="6" customFormat="false" ht="15" hidden="false" customHeight="true" outlineLevel="0" collapsed="false">
      <c r="A6" s="10" t="n">
        <v>2</v>
      </c>
      <c r="B6" s="4" t="s">
        <v>213</v>
      </c>
      <c r="C6" s="4" t="s">
        <v>217</v>
      </c>
      <c r="D6" s="4" t="s">
        <v>14</v>
      </c>
      <c r="E6" s="4" t="s">
        <v>218</v>
      </c>
      <c r="F6" s="4" t="s">
        <v>219</v>
      </c>
      <c r="G6" s="16" t="n">
        <v>46274</v>
      </c>
    </row>
    <row r="7" customFormat="false" ht="15" hidden="false" customHeight="true" outlineLevel="0" collapsed="false">
      <c r="A7" s="10" t="n">
        <v>3</v>
      </c>
      <c r="B7" s="4" t="s">
        <v>213</v>
      </c>
      <c r="C7" s="4" t="s">
        <v>220</v>
      </c>
      <c r="D7" s="4" t="s">
        <v>19</v>
      </c>
      <c r="E7" s="4" t="s">
        <v>221</v>
      </c>
      <c r="F7" s="4" t="s">
        <v>222</v>
      </c>
      <c r="G7" s="16" t="n">
        <v>46273.875</v>
      </c>
    </row>
    <row r="8" customFormat="false" ht="15" hidden="false" customHeight="true" outlineLevel="0" collapsed="false">
      <c r="A8" s="10" t="n">
        <v>4</v>
      </c>
      <c r="B8" s="4" t="s">
        <v>213</v>
      </c>
      <c r="C8" s="4" t="s">
        <v>223</v>
      </c>
      <c r="D8" s="4" t="s">
        <v>17</v>
      </c>
      <c r="E8" s="4" t="s">
        <v>224</v>
      </c>
      <c r="F8" s="4" t="s">
        <v>225</v>
      </c>
      <c r="G8" s="16" t="n">
        <v>46273.75</v>
      </c>
    </row>
    <row r="9" customFormat="false" ht="15" hidden="false" customHeight="true" outlineLevel="0" collapsed="false">
      <c r="A9" s="10" t="n">
        <v>5</v>
      </c>
      <c r="B9" s="4" t="s">
        <v>213</v>
      </c>
      <c r="C9" s="4" t="s">
        <v>214</v>
      </c>
      <c r="D9" s="4" t="s">
        <v>10</v>
      </c>
      <c r="E9" s="4" t="s">
        <v>226</v>
      </c>
      <c r="F9" s="4" t="s">
        <v>227</v>
      </c>
      <c r="G9" s="16" t="n">
        <v>46273.625</v>
      </c>
    </row>
    <row r="10" customFormat="false" ht="15" hidden="false" customHeight="true" outlineLevel="0" collapsed="false">
      <c r="A10" s="10" t="n">
        <v>6</v>
      </c>
      <c r="B10" s="4" t="s">
        <v>213</v>
      </c>
      <c r="C10" s="4" t="s">
        <v>228</v>
      </c>
      <c r="D10" s="4" t="s">
        <v>5</v>
      </c>
      <c r="E10" s="4" t="s">
        <v>226</v>
      </c>
      <c r="F10" s="4" t="s">
        <v>229</v>
      </c>
      <c r="G10" s="16" t="n">
        <v>46273.5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8"/>
    <col collapsed="false" customWidth="true" hidden="false" outlineLevel="0" max="6" min="5" style="1" width="14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2" t="s">
        <v>26</v>
      </c>
    </row>
    <row r="2" customFormat="false" ht="15" hidden="false" customHeight="true" outlineLevel="0" collapsed="false">
      <c r="A2" s="7" t="s">
        <v>230</v>
      </c>
    </row>
    <row r="4" customFormat="false" ht="15" hidden="false" customHeight="true" outlineLevel="0" collapsed="false">
      <c r="A4" s="17" t="s">
        <v>231</v>
      </c>
    </row>
    <row r="5" customFormat="false" ht="15" hidden="false" customHeight="true" outlineLevel="0" collapsed="false">
      <c r="A5" s="3" t="s">
        <v>232</v>
      </c>
      <c r="B5" s="3" t="s">
        <v>38</v>
      </c>
      <c r="C5" s="3" t="s">
        <v>39</v>
      </c>
      <c r="D5" s="3" t="s">
        <v>42</v>
      </c>
      <c r="E5" s="3" t="s">
        <v>41</v>
      </c>
      <c r="F5" s="3" t="s">
        <v>233</v>
      </c>
      <c r="G5" s="3" t="s">
        <v>234</v>
      </c>
    </row>
    <row r="6" customFormat="false" ht="15" hidden="false" customHeight="true" outlineLevel="0" collapsed="false">
      <c r="A6" s="4" t="n">
        <f aca="false">items!A5</f>
        <v>1</v>
      </c>
      <c r="B6" s="4" t="str">
        <f aca="false">items!B5</f>
        <v>HYD-040</v>
      </c>
      <c r="C6" s="4" t="str">
        <f aca="false">items!C5</f>
        <v>Hydraulic Oil ISO 68</v>
      </c>
      <c r="D6" s="4" t="n">
        <f aca="false">items!F5</f>
        <v>120</v>
      </c>
      <c r="E6" s="4" t="n">
        <f aca="false">items!E5</f>
        <v>40</v>
      </c>
      <c r="F6" s="18" t="n">
        <f aca="false">-SUMIFS(movements!$E$5:$E$40,movements!$B$5:$B$40,A6,movements!$F$5:$F$40,"issue",movements!$G$5:$G$40,"&gt;="&amp;(DATE(2026,9,9)-30))</f>
        <v>17</v>
      </c>
      <c r="G6" s="18" t="n">
        <f aca="false">IF(F6=0,"-",ROUND(D6/(F6/30),1))</f>
        <v>211.8</v>
      </c>
    </row>
    <row r="7" customFormat="false" ht="15" hidden="false" customHeight="true" outlineLevel="0" collapsed="false">
      <c r="A7" s="4" t="n">
        <f aca="false">items!A6</f>
        <v>2</v>
      </c>
      <c r="B7" s="4" t="str">
        <f aca="false">items!B6</f>
        <v>BRG-6205</v>
      </c>
      <c r="C7" s="4" t="str">
        <f aca="false">items!C6</f>
        <v>Ball Bearing 6205-2RS</v>
      </c>
      <c r="D7" s="4" t="n">
        <f aca="false">items!F6</f>
        <v>8</v>
      </c>
      <c r="E7" s="4" t="n">
        <f aca="false">items!E6</f>
        <v>20</v>
      </c>
      <c r="F7" s="18" t="n">
        <f aca="false">-SUMIFS(movements!$E$5:$E$40,movements!$B$5:$B$40,A7,movements!$F$5:$F$40,"issue",movements!$G$5:$G$40,"&gt;="&amp;(DATE(2026,9,9)-30))</f>
        <v>7</v>
      </c>
      <c r="G7" s="18" t="n">
        <f aca="false">IF(F7=0,"-",ROUND(D7/(F7/30),1))</f>
        <v>34.3</v>
      </c>
    </row>
    <row r="8" customFormat="false" ht="15" hidden="false" customHeight="true" outlineLevel="0" collapsed="false">
      <c r="A8" s="4" t="n">
        <f aca="false">items!A7</f>
        <v>3</v>
      </c>
      <c r="B8" s="4" t="str">
        <f aca="false">items!B7</f>
        <v>BLT-A42</v>
      </c>
      <c r="C8" s="4" t="str">
        <f aca="false">items!C7</f>
        <v>V-Belt A42</v>
      </c>
      <c r="D8" s="4" t="n">
        <f aca="false">items!F7</f>
        <v>25</v>
      </c>
      <c r="E8" s="4" t="n">
        <f aca="false">items!E7</f>
        <v>10</v>
      </c>
      <c r="F8" s="18" t="n">
        <f aca="false">-SUMIFS(movements!$E$5:$E$40,movements!$B$5:$B$40,A8,movements!$F$5:$F$40,"issue",movements!$G$5:$G$40,"&gt;="&amp;(DATE(2026,9,9)-30))</f>
        <v>-0</v>
      </c>
      <c r="G8" s="18" t="str">
        <f aca="false">IF(F8=0,"-",ROUND(D8/(F8/30),1))</f>
        <v>-</v>
      </c>
    </row>
    <row r="9" customFormat="false" ht="15" hidden="false" customHeight="true" outlineLevel="0" collapsed="false">
      <c r="A9" s="4" t="n">
        <f aca="false">items!A8</f>
        <v>4</v>
      </c>
      <c r="B9" s="4" t="str">
        <f aca="false">items!B8</f>
        <v>WLD-ROD6</v>
      </c>
      <c r="C9" s="4" t="str">
        <f aca="false">items!C8</f>
        <v>Welding Rod 3.15mm</v>
      </c>
      <c r="D9" s="4" t="n">
        <f aca="false">items!F8</f>
        <v>60</v>
      </c>
      <c r="E9" s="4" t="n">
        <f aca="false">items!E8</f>
        <v>15</v>
      </c>
      <c r="F9" s="18" t="n">
        <f aca="false">-SUMIFS(movements!$E$5:$E$40,movements!$B$5:$B$40,A9,movements!$F$5:$F$40,"issue",movements!$G$5:$G$40,"&gt;="&amp;(DATE(2026,9,9)-30))</f>
        <v>-0</v>
      </c>
      <c r="G9" s="18" t="str">
        <f aca="false">IF(F9=0,"-",ROUND(D9/(F9/30),1))</f>
        <v>-</v>
      </c>
    </row>
    <row r="10" customFormat="false" ht="15" hidden="false" customHeight="true" outlineLevel="0" collapsed="false">
      <c r="A10" s="4" t="n">
        <f aca="false">items!A9</f>
        <v>5</v>
      </c>
      <c r="B10" s="4" t="str">
        <f aca="false">items!B9</f>
        <v>GRS-EP2</v>
      </c>
      <c r="C10" s="4" t="str">
        <f aca="false">items!C9</f>
        <v>Grease EP2</v>
      </c>
      <c r="D10" s="4" t="n">
        <f aca="false">items!F9</f>
        <v>5</v>
      </c>
      <c r="E10" s="4" t="n">
        <f aca="false">items!E9</f>
        <v>12</v>
      </c>
      <c r="F10" s="18" t="n">
        <f aca="false">-SUMIFS(movements!$E$5:$E$40,movements!$B$5:$B$40,A10,movements!$F$5:$F$40,"issue",movements!$G$5:$G$40,"&gt;="&amp;(DATE(2026,9,9)-30))</f>
        <v>13</v>
      </c>
      <c r="G10" s="18" t="n">
        <f aca="false">IF(F10=0,"-",ROUND(D10/(F10/30),1))</f>
        <v>11.5</v>
      </c>
    </row>
    <row r="11" customFormat="false" ht="15" hidden="false" customHeight="true" outlineLevel="0" collapsed="false">
      <c r="A11" s="4" t="n">
        <f aca="false">items!A10</f>
        <v>6</v>
      </c>
      <c r="B11" s="4" t="str">
        <f aca="false">items!B10</f>
        <v>SEAL-25X40</v>
      </c>
      <c r="C11" s="4" t="str">
        <f aca="false">items!C10</f>
        <v>Oil Seal 25x40x7</v>
      </c>
      <c r="D11" s="4" t="n">
        <f aca="false">items!F10</f>
        <v>30</v>
      </c>
      <c r="E11" s="4" t="n">
        <f aca="false">items!E10</f>
        <v>8</v>
      </c>
      <c r="F11" s="18" t="n">
        <f aca="false">-SUMIFS(movements!$E$5:$E$40,movements!$B$5:$B$40,A11,movements!$F$5:$F$40,"issue",movements!$G$5:$G$40,"&gt;="&amp;(DATE(2026,9,9)-30))</f>
        <v>5</v>
      </c>
      <c r="G11" s="18" t="n">
        <f aca="false">IF(F11=0,"-",ROUND(D11/(F11/30),1))</f>
        <v>180</v>
      </c>
    </row>
    <row r="12" customFormat="false" ht="15" hidden="false" customHeight="true" outlineLevel="0" collapsed="false">
      <c r="A12" s="4" t="n">
        <f aca="false">items!A11</f>
        <v>7</v>
      </c>
      <c r="B12" s="4" t="str">
        <f aca="false">items!B11</f>
        <v>FLT-AIR12</v>
      </c>
      <c r="C12" s="4" t="str">
        <f aca="false">items!C11</f>
        <v>Air Filter Cartridge</v>
      </c>
      <c r="D12" s="4" t="n">
        <f aca="false">items!F11</f>
        <v>2</v>
      </c>
      <c r="E12" s="4" t="n">
        <f aca="false">items!E11</f>
        <v>6</v>
      </c>
      <c r="F12" s="18" t="n">
        <f aca="false">-SUMIFS(movements!$E$5:$E$40,movements!$B$5:$B$40,A12,movements!$F$5:$F$40,"issue",movements!$G$5:$G$40,"&gt;="&amp;(DATE(2026,9,9)-30))</f>
        <v>-0</v>
      </c>
      <c r="G12" s="18" t="str">
        <f aca="false">IF(F12=0,"-",ROUND(D12/(F12/30),1))</f>
        <v>-</v>
      </c>
    </row>
    <row r="13" customFormat="false" ht="15" hidden="false" customHeight="true" outlineLevel="0" collapsed="false">
      <c r="A13" s="4" t="n">
        <f aca="false">items!A12</f>
        <v>8</v>
      </c>
      <c r="B13" s="4" t="str">
        <f aca="false">items!B12</f>
        <v>PNT-EP1</v>
      </c>
      <c r="C13" s="4" t="str">
        <f aca="false">items!C12</f>
        <v>Epoxy Paint White</v>
      </c>
      <c r="D13" s="4" t="n">
        <f aca="false">items!F12</f>
        <v>40</v>
      </c>
      <c r="E13" s="4" t="n">
        <f aca="false">items!E12</f>
        <v>10</v>
      </c>
      <c r="F13" s="18" t="n">
        <f aca="false">-SUMIFS(movements!$E$5:$E$40,movements!$B$5:$B$40,A13,movements!$F$5:$F$40,"issue",movements!$G$5:$G$40,"&gt;="&amp;(DATE(2026,9,9)-30))</f>
        <v>-0</v>
      </c>
      <c r="G13" s="18" t="str">
        <f aca="false">IF(F13=0,"-",ROUND(D13/(F13/30),1))</f>
        <v>-</v>
      </c>
    </row>
    <row r="14" customFormat="false" ht="15" hidden="false" customHeight="true" outlineLevel="0" collapsed="false">
      <c r="A14" s="4" t="n">
        <f aca="false">items!A13</f>
        <v>9</v>
      </c>
      <c r="B14" s="4" t="str">
        <f aca="false">items!B13</f>
        <v>NUT-M12</v>
      </c>
      <c r="C14" s="4" t="str">
        <f aca="false">items!C13</f>
        <v>Hex Nut M12</v>
      </c>
      <c r="D14" s="4" t="n">
        <f aca="false">items!F13</f>
        <v>480</v>
      </c>
      <c r="E14" s="4" t="n">
        <f aca="false">items!E13</f>
        <v>100</v>
      </c>
      <c r="F14" s="18" t="n">
        <f aca="false">-SUMIFS(movements!$E$5:$E$40,movements!$B$5:$B$40,A14,movements!$F$5:$F$40,"issue",movements!$G$5:$G$40,"&gt;="&amp;(DATE(2026,9,9)-30))</f>
        <v>29</v>
      </c>
      <c r="G14" s="18" t="n">
        <f aca="false">IF(F14=0,"-",ROUND(D14/(F14/30),1))</f>
        <v>496.6</v>
      </c>
    </row>
    <row r="15" customFormat="false" ht="15" hidden="false" customHeight="true" outlineLevel="0" collapsed="false">
      <c r="A15" s="4" t="n">
        <f aca="false">items!A14</f>
        <v>10</v>
      </c>
      <c r="B15" s="4" t="str">
        <f aca="false">items!B14</f>
        <v>CBL-3C25</v>
      </c>
      <c r="C15" s="4" t="str">
        <f aca="false">items!C14</f>
        <v>Cable 3C x 2.5 sqmm</v>
      </c>
      <c r="D15" s="4" t="n">
        <f aca="false">items!F14</f>
        <v>15</v>
      </c>
      <c r="E15" s="4" t="n">
        <f aca="false">items!E14</f>
        <v>50</v>
      </c>
      <c r="F15" s="18" t="n">
        <f aca="false">-SUMIFS(movements!$E$5:$E$40,movements!$B$5:$B$40,A15,movements!$F$5:$F$40,"issue",movements!$G$5:$G$40,"&gt;="&amp;(DATE(2026,9,9)-30))</f>
        <v>-0</v>
      </c>
      <c r="G15" s="18" t="str">
        <f aca="false">IF(F15=0,"-",ROUND(D15/(F15/30),1))</f>
        <v>-</v>
      </c>
    </row>
    <row r="18" customFormat="false" ht="15" hidden="false" customHeight="true" outlineLevel="0" collapsed="false">
      <c r="A18" s="17" t="s">
        <v>235</v>
      </c>
    </row>
    <row r="19" customFormat="false" ht="15" hidden="false" customHeight="true" outlineLevel="0" collapsed="false">
      <c r="A19" s="3" t="s">
        <v>236</v>
      </c>
      <c r="B19" s="3" t="s">
        <v>38</v>
      </c>
      <c r="C19" s="3" t="s">
        <v>39</v>
      </c>
      <c r="D19" s="3" t="s">
        <v>233</v>
      </c>
      <c r="E19" s="3" t="s">
        <v>237</v>
      </c>
    </row>
    <row r="20" customFormat="false" ht="15" hidden="false" customHeight="true" outlineLevel="0" collapsed="false">
      <c r="A20" s="4" t="n">
        <f aca="false">machines!A5</f>
        <v>1</v>
      </c>
      <c r="B20" s="4" t="str">
        <f aca="false">machines!B5</f>
        <v>CNC-01</v>
      </c>
      <c r="C20" s="4" t="str">
        <f aca="false">machines!C5</f>
        <v>CNC Lathe 01</v>
      </c>
      <c r="D20" s="18" t="n">
        <f aca="false">-SUMIFS(movements!$E$5:$E$40,movements!$C$5:$C$40,A20,movements!$F$5:$F$40,"issue")</f>
        <v>47</v>
      </c>
      <c r="E20" s="18" t="n">
        <f aca="false">COUNTIFS(movements!$C$5:$C$40,A20,movements!$F$5:$F$40,"issue")</f>
        <v>4</v>
      </c>
    </row>
    <row r="21" customFormat="false" ht="15" hidden="false" customHeight="true" outlineLevel="0" collapsed="false">
      <c r="A21" s="4" t="n">
        <f aca="false">machines!A6</f>
        <v>2</v>
      </c>
      <c r="B21" s="4" t="str">
        <f aca="false">machines!B6</f>
        <v>CNC-02</v>
      </c>
      <c r="C21" s="4" t="str">
        <f aca="false">machines!C6</f>
        <v>CNC Lathe 02</v>
      </c>
      <c r="D21" s="18" t="n">
        <f aca="false">-SUMIFS(movements!$E$5:$E$40,movements!$C$5:$C$40,A21,movements!$F$5:$F$40,"issue")</f>
        <v>5</v>
      </c>
      <c r="E21" s="18" t="n">
        <f aca="false">COUNTIFS(movements!$C$5:$C$40,A21,movements!$F$5:$F$40,"issue")</f>
        <v>2</v>
      </c>
    </row>
    <row r="22" customFormat="false" ht="15" hidden="false" customHeight="true" outlineLevel="0" collapsed="false">
      <c r="A22" s="4" t="n">
        <f aca="false">machines!A7</f>
        <v>3</v>
      </c>
      <c r="B22" s="4" t="str">
        <f aca="false">machines!B7</f>
        <v>PRS-04</v>
      </c>
      <c r="C22" s="4" t="str">
        <f aca="false">machines!C7</f>
        <v>Power Press 04</v>
      </c>
      <c r="D22" s="18" t="n">
        <f aca="false">-SUMIFS(movements!$E$5:$E$40,movements!$C$5:$C$40,A22,movements!$F$5:$F$40,"issue")</f>
        <v>3</v>
      </c>
      <c r="E22" s="18" t="n">
        <f aca="false">COUNTIFS(movements!$C$5:$C$40,A22,movements!$F$5:$F$40,"issue")</f>
        <v>1</v>
      </c>
    </row>
    <row r="23" customFormat="false" ht="15" hidden="false" customHeight="true" outlineLevel="0" collapsed="false">
      <c r="A23" s="4" t="n">
        <f aca="false">machines!A8</f>
        <v>4</v>
      </c>
      <c r="B23" s="4" t="str">
        <f aca="false">machines!B8</f>
        <v>CNV-A</v>
      </c>
      <c r="C23" s="4" t="str">
        <f aca="false">machines!C8</f>
        <v>Conveyor A</v>
      </c>
      <c r="D23" s="18" t="n">
        <f aca="false">-SUMIFS(movements!$E$5:$E$40,movements!$C$5:$C$40,A23,movements!$F$5:$F$40,"issue")</f>
        <v>5</v>
      </c>
      <c r="E23" s="18" t="n">
        <f aca="false">COUNTIFS(movements!$C$5:$C$40,A23,movements!$F$5:$F$40,"issue")</f>
        <v>1</v>
      </c>
    </row>
    <row r="24" customFormat="false" ht="15" hidden="false" customHeight="true" outlineLevel="0" collapsed="false">
      <c r="A24" s="4" t="n">
        <f aca="false">machines!A9</f>
        <v>5</v>
      </c>
      <c r="B24" s="4" t="str">
        <f aca="false">machines!B9</f>
        <v>WLD-2</v>
      </c>
      <c r="C24" s="4" t="str">
        <f aca="false">machines!C9</f>
        <v>Welding Station 2</v>
      </c>
      <c r="D24" s="18" t="n">
        <f aca="false">-SUMIFS(movements!$E$5:$E$40,movements!$C$5:$C$40,A24,movements!$F$5:$F$40,"issue")</f>
        <v>19</v>
      </c>
      <c r="E24" s="18" t="n">
        <f aca="false">COUNTIFS(movements!$C$5:$C$40,A24,movements!$F$5:$F$40,"issue")</f>
        <v>3</v>
      </c>
    </row>
    <row r="25" customFormat="false" ht="15" hidden="false" customHeight="true" outlineLevel="0" collapsed="false">
      <c r="A25" s="4" t="n">
        <f aca="false">machines!A10</f>
        <v>6</v>
      </c>
      <c r="B25" s="4" t="str">
        <f aca="false">machines!B10</f>
        <v>CMP-R</v>
      </c>
      <c r="C25" s="4" t="str">
        <f aca="false">machines!C10</f>
        <v>Air Compressor R</v>
      </c>
      <c r="D25" s="18" t="n">
        <f aca="false">-SUMIFS(movements!$E$5:$E$40,movements!$C$5:$C$40,A25,movements!$F$5:$F$40,"issue")</f>
        <v>23</v>
      </c>
      <c r="E25" s="18" t="n">
        <f aca="false">COUNTIFS(movements!$C$5:$C$40,A25,movements!$F$5:$F$40,"issue")</f>
        <v>3</v>
      </c>
    </row>
    <row r="28" customFormat="false" ht="15" hidden="false" customHeight="true" outlineLevel="0" collapsed="false">
      <c r="A28" s="17" t="s">
        <v>238</v>
      </c>
    </row>
    <row r="29" customFormat="false" ht="15" hidden="false" customHeight="true" outlineLevel="0" collapsed="false">
      <c r="A29" s="3" t="s">
        <v>232</v>
      </c>
      <c r="B29" s="3" t="s">
        <v>38</v>
      </c>
      <c r="C29" s="3" t="s">
        <v>233</v>
      </c>
      <c r="D29" s="3" t="s">
        <v>239</v>
      </c>
      <c r="E29" s="3" t="s">
        <v>240</v>
      </c>
    </row>
    <row r="30" customFormat="false" ht="15" hidden="false" customHeight="true" outlineLevel="0" collapsed="false">
      <c r="A30" s="4" t="n">
        <f aca="false">items!A5</f>
        <v>1</v>
      </c>
      <c r="B30" s="4" t="str">
        <f aca="false">items!B5</f>
        <v>HYD-040</v>
      </c>
      <c r="C30" s="18" t="n">
        <f aca="false">-SUMIFS(movements!$E$5:$E$40,movements!$B$5:$B$40,A30,movements!$F$5:$F$40,"issue",movements!$G$5:$G$40,"&gt;="&amp;(DATE(2026,9,9)-30))</f>
        <v>17</v>
      </c>
      <c r="D30" s="18" t="n">
        <f aca="false">SUMIFS(movements!$E$5:$E$40,movements!$B$5:$B$40,A30,movements!$F$5:$F$40,"receive",movements!$G$5:$G$40,"&gt;="&amp;(DATE(2026,9,9)-30))</f>
        <v>9</v>
      </c>
      <c r="E30" s="18" t="n">
        <f aca="false">D30-C30</f>
        <v>-8</v>
      </c>
    </row>
    <row r="31" customFormat="false" ht="15" hidden="false" customHeight="true" outlineLevel="0" collapsed="false">
      <c r="A31" s="4" t="n">
        <f aca="false">items!A6</f>
        <v>2</v>
      </c>
      <c r="B31" s="4" t="str">
        <f aca="false">items!B6</f>
        <v>BRG-6205</v>
      </c>
      <c r="C31" s="18" t="n">
        <f aca="false">-SUMIFS(movements!$E$5:$E$40,movements!$B$5:$B$40,A31,movements!$F$5:$F$40,"issue",movements!$G$5:$G$40,"&gt;="&amp;(DATE(2026,9,9)-30))</f>
        <v>7</v>
      </c>
      <c r="D31" s="18" t="n">
        <f aca="false">SUMIFS(movements!$E$5:$E$40,movements!$B$5:$B$40,A31,movements!$F$5:$F$40,"receive",movements!$G$5:$G$40,"&gt;="&amp;(DATE(2026,9,9)-30))</f>
        <v>27</v>
      </c>
      <c r="E31" s="18" t="n">
        <f aca="false">D31-C31</f>
        <v>20</v>
      </c>
    </row>
    <row r="32" customFormat="false" ht="15" hidden="false" customHeight="true" outlineLevel="0" collapsed="false">
      <c r="A32" s="4" t="n">
        <f aca="false">items!A7</f>
        <v>3</v>
      </c>
      <c r="B32" s="4" t="str">
        <f aca="false">items!B7</f>
        <v>BLT-A42</v>
      </c>
      <c r="C32" s="18" t="n">
        <f aca="false">-SUMIFS(movements!$E$5:$E$40,movements!$B$5:$B$40,A32,movements!$F$5:$F$40,"issue",movements!$G$5:$G$40,"&gt;="&amp;(DATE(2026,9,9)-30))</f>
        <v>-0</v>
      </c>
      <c r="D32" s="18" t="n">
        <f aca="false">SUMIFS(movements!$E$5:$E$40,movements!$B$5:$B$40,A32,movements!$F$5:$F$40,"receive",movements!$G$5:$G$40,"&gt;="&amp;(DATE(2026,9,9)-30))</f>
        <v>10</v>
      </c>
      <c r="E32" s="18" t="n">
        <f aca="false">D32-C32</f>
        <v>10</v>
      </c>
    </row>
    <row r="33" customFormat="false" ht="15" hidden="false" customHeight="true" outlineLevel="0" collapsed="false">
      <c r="A33" s="4" t="n">
        <f aca="false">items!A8</f>
        <v>4</v>
      </c>
      <c r="B33" s="4" t="str">
        <f aca="false">items!B8</f>
        <v>WLD-ROD6</v>
      </c>
      <c r="C33" s="18" t="n">
        <f aca="false">-SUMIFS(movements!$E$5:$E$40,movements!$B$5:$B$40,A33,movements!$F$5:$F$40,"issue",movements!$G$5:$G$40,"&gt;="&amp;(DATE(2026,9,9)-30))</f>
        <v>-0</v>
      </c>
      <c r="D33" s="18" t="n">
        <f aca="false">SUMIFS(movements!$E$5:$E$40,movements!$B$5:$B$40,A33,movements!$F$5:$F$40,"receive",movements!$G$5:$G$40,"&gt;="&amp;(DATE(2026,9,9)-30))</f>
        <v>48</v>
      </c>
      <c r="E33" s="18" t="n">
        <f aca="false">D33-C33</f>
        <v>48</v>
      </c>
    </row>
    <row r="34" customFormat="false" ht="15" hidden="false" customHeight="true" outlineLevel="0" collapsed="false">
      <c r="A34" s="4" t="n">
        <f aca="false">items!A9</f>
        <v>5</v>
      </c>
      <c r="B34" s="4" t="str">
        <f aca="false">items!B9</f>
        <v>GRS-EP2</v>
      </c>
      <c r="C34" s="18" t="n">
        <f aca="false">-SUMIFS(movements!$E$5:$E$40,movements!$B$5:$B$40,A34,movements!$F$5:$F$40,"issue",movements!$G$5:$G$40,"&gt;="&amp;(DATE(2026,9,9)-30))</f>
        <v>13</v>
      </c>
      <c r="D34" s="18" t="n">
        <f aca="false">SUMIFS(movements!$E$5:$E$40,movements!$B$5:$B$40,A34,movements!$F$5:$F$40,"receive",movements!$G$5:$G$40,"&gt;="&amp;(DATE(2026,9,9)-30))</f>
        <v>0</v>
      </c>
      <c r="E34" s="18" t="n">
        <f aca="false">D34-C34</f>
        <v>-13</v>
      </c>
    </row>
    <row r="35" customFormat="false" ht="15" hidden="false" customHeight="true" outlineLevel="0" collapsed="false">
      <c r="A35" s="4" t="n">
        <f aca="false">items!A10</f>
        <v>6</v>
      </c>
      <c r="B35" s="4" t="str">
        <f aca="false">items!B10</f>
        <v>SEAL-25X40</v>
      </c>
      <c r="C35" s="18" t="n">
        <f aca="false">-SUMIFS(movements!$E$5:$E$40,movements!$B$5:$B$40,A35,movements!$F$5:$F$40,"issue",movements!$G$5:$G$40,"&gt;="&amp;(DATE(2026,9,9)-30))</f>
        <v>5</v>
      </c>
      <c r="D35" s="18" t="n">
        <f aca="false">SUMIFS(movements!$E$5:$E$40,movements!$B$5:$B$40,A35,movements!$F$5:$F$40,"receive",movements!$G$5:$G$40,"&gt;="&amp;(DATE(2026,9,9)-30))</f>
        <v>38</v>
      </c>
      <c r="E35" s="18" t="n">
        <f aca="false">D35-C35</f>
        <v>33</v>
      </c>
    </row>
    <row r="36" customFormat="false" ht="15" hidden="false" customHeight="true" outlineLevel="0" collapsed="false">
      <c r="A36" s="4" t="n">
        <f aca="false">items!A11</f>
        <v>7</v>
      </c>
      <c r="B36" s="4" t="str">
        <f aca="false">items!B11</f>
        <v>FLT-AIR12</v>
      </c>
      <c r="C36" s="18" t="n">
        <f aca="false">-SUMIFS(movements!$E$5:$E$40,movements!$B$5:$B$40,A36,movements!$F$5:$F$40,"issue",movements!$G$5:$G$40,"&gt;="&amp;(DATE(2026,9,9)-30))</f>
        <v>-0</v>
      </c>
      <c r="D36" s="18" t="n">
        <f aca="false">SUMIFS(movements!$E$5:$E$40,movements!$B$5:$B$40,A36,movements!$F$5:$F$40,"receive",movements!$G$5:$G$40,"&gt;="&amp;(DATE(2026,9,9)-30))</f>
        <v>8</v>
      </c>
      <c r="E36" s="18" t="n">
        <f aca="false">D36-C36</f>
        <v>8</v>
      </c>
    </row>
    <row r="37" customFormat="false" ht="15" hidden="false" customHeight="true" outlineLevel="0" collapsed="false">
      <c r="A37" s="4" t="n">
        <f aca="false">items!A12</f>
        <v>8</v>
      </c>
      <c r="B37" s="4" t="str">
        <f aca="false">items!B12</f>
        <v>PNT-EP1</v>
      </c>
      <c r="C37" s="18" t="n">
        <f aca="false">-SUMIFS(movements!$E$5:$E$40,movements!$B$5:$B$40,A37,movements!$F$5:$F$40,"issue",movements!$G$5:$G$40,"&gt;="&amp;(DATE(2026,9,9)-30))</f>
        <v>-0</v>
      </c>
      <c r="D37" s="18" t="n">
        <f aca="false">SUMIFS(movements!$E$5:$E$40,movements!$B$5:$B$40,A37,movements!$F$5:$F$40,"receive",movements!$G$5:$G$40,"&gt;="&amp;(DATE(2026,9,9)-30))</f>
        <v>0</v>
      </c>
      <c r="E37" s="18" t="n">
        <f aca="false">D37-C37</f>
        <v>0</v>
      </c>
    </row>
    <row r="38" customFormat="false" ht="15" hidden="false" customHeight="true" outlineLevel="0" collapsed="false">
      <c r="A38" s="4" t="n">
        <f aca="false">items!A13</f>
        <v>9</v>
      </c>
      <c r="B38" s="4" t="str">
        <f aca="false">items!B13</f>
        <v>NUT-M12</v>
      </c>
      <c r="C38" s="18" t="n">
        <f aca="false">-SUMIFS(movements!$E$5:$E$40,movements!$B$5:$B$40,A38,movements!$F$5:$F$40,"issue",movements!$G$5:$G$40,"&gt;="&amp;(DATE(2026,9,9)-30))</f>
        <v>29</v>
      </c>
      <c r="D38" s="18" t="n">
        <f aca="false">SUMIFS(movements!$E$5:$E$40,movements!$B$5:$B$40,A38,movements!$F$5:$F$40,"receive",movements!$G$5:$G$40,"&gt;="&amp;(DATE(2026,9,9)-30))</f>
        <v>13</v>
      </c>
      <c r="E38" s="18" t="n">
        <f aca="false">D38-C38</f>
        <v>-16</v>
      </c>
    </row>
    <row r="39" customFormat="false" ht="15" hidden="false" customHeight="true" outlineLevel="0" collapsed="false">
      <c r="A39" s="4" t="n">
        <f aca="false">items!A14</f>
        <v>10</v>
      </c>
      <c r="B39" s="4" t="str">
        <f aca="false">items!B14</f>
        <v>CBL-3C25</v>
      </c>
      <c r="C39" s="18" t="n">
        <f aca="false">-SUMIFS(movements!$E$5:$E$40,movements!$B$5:$B$40,A39,movements!$F$5:$F$40,"issue",movements!$G$5:$G$40,"&gt;="&amp;(DATE(2026,9,9)-30))</f>
        <v>-0</v>
      </c>
      <c r="D39" s="18" t="n">
        <f aca="false">SUMIFS(movements!$E$5:$E$40,movements!$B$5:$B$40,A39,movements!$F$5:$F$40,"receive",movements!$G$5:$G$40,"&gt;="&amp;(DATE(2026,9,9)-30))</f>
        <v>18</v>
      </c>
      <c r="E39" s="18" t="n">
        <f aca="false">D39-C39</f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pane xSplit="0" ySplit="4" topLeftCell="A5" activePane="bottomLeft" state="frozen"/>
      <selection pane="topLeft" activeCell="K1" activeCellId="0" sqref="K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14"/>
    <col collapsed="false" customWidth="true" hidden="false" outlineLevel="0" max="4" min="4" style="1" width="26"/>
  </cols>
  <sheetData>
    <row r="1" customFormat="false" ht="17.25" hidden="false" customHeight="true" outlineLevel="0" collapsed="false">
      <c r="A1" s="2" t="s">
        <v>241</v>
      </c>
    </row>
    <row r="2" customFormat="false" ht="15" hidden="false" customHeight="true" outlineLevel="0" collapsed="false">
      <c r="A2" s="7" t="s">
        <v>242</v>
      </c>
    </row>
    <row r="4" customFormat="false" ht="15" hidden="false" customHeight="true" outlineLevel="0" collapsed="false">
      <c r="A4" s="3" t="s">
        <v>243</v>
      </c>
      <c r="B4" s="3" t="s">
        <v>244</v>
      </c>
      <c r="C4" s="3" t="s">
        <v>245</v>
      </c>
      <c r="D4" s="3" t="s">
        <v>246</v>
      </c>
    </row>
    <row r="5" customFormat="false" ht="15" hidden="false" customHeight="true" outlineLevel="0" collapsed="false">
      <c r="A5" s="4" t="s">
        <v>5</v>
      </c>
      <c r="B5" s="4" t="s">
        <v>10</v>
      </c>
      <c r="C5" s="4" t="s">
        <v>232</v>
      </c>
      <c r="D5" s="4" t="s">
        <v>247</v>
      </c>
    </row>
    <row r="6" customFormat="false" ht="15" hidden="false" customHeight="true" outlineLevel="0" collapsed="false">
      <c r="A6" s="4" t="s">
        <v>8</v>
      </c>
      <c r="B6" s="4" t="s">
        <v>10</v>
      </c>
      <c r="C6" s="4" t="s">
        <v>236</v>
      </c>
      <c r="D6" s="4" t="s">
        <v>247</v>
      </c>
    </row>
    <row r="7" customFormat="false" ht="15" hidden="false" customHeight="true" outlineLevel="0" collapsed="false">
      <c r="A7" s="4" t="s">
        <v>5</v>
      </c>
      <c r="B7" s="4" t="s">
        <v>12</v>
      </c>
      <c r="C7" s="4" t="s">
        <v>232</v>
      </c>
      <c r="D7" s="4" t="s">
        <v>247</v>
      </c>
    </row>
    <row r="8" customFormat="false" ht="15" hidden="false" customHeight="true" outlineLevel="0" collapsed="false">
      <c r="A8" s="4" t="s">
        <v>8</v>
      </c>
      <c r="B8" s="4" t="s">
        <v>12</v>
      </c>
      <c r="C8" s="4" t="s">
        <v>236</v>
      </c>
      <c r="D8" s="4" t="s">
        <v>247</v>
      </c>
    </row>
    <row r="9" customFormat="false" ht="15" hidden="false" customHeight="true" outlineLevel="0" collapsed="false">
      <c r="A9" s="4" t="s">
        <v>10</v>
      </c>
      <c r="B9" s="4" t="s">
        <v>12</v>
      </c>
      <c r="C9" s="4" t="s">
        <v>248</v>
      </c>
      <c r="D9" s="4" t="s">
        <v>247</v>
      </c>
    </row>
    <row r="10" customFormat="false" ht="15" hidden="false" customHeight="true" outlineLevel="0" collapsed="false">
      <c r="A10" s="4" t="s">
        <v>5</v>
      </c>
      <c r="B10" s="4" t="s">
        <v>19</v>
      </c>
      <c r="C10" s="4" t="s">
        <v>232</v>
      </c>
      <c r="D10" s="4" t="s">
        <v>249</v>
      </c>
    </row>
    <row r="11" customFormat="false" ht="15" hidden="false" customHeight="true" outlineLevel="0" collapsed="false">
      <c r="A11" s="4" t="s">
        <v>14</v>
      </c>
      <c r="B11" s="4" t="s">
        <v>17</v>
      </c>
      <c r="C11" s="4" t="s">
        <v>250</v>
      </c>
      <c r="D11" s="4" t="s">
        <v>251</v>
      </c>
    </row>
    <row r="12" customFormat="false" ht="15" hidden="false" customHeight="true" outlineLevel="0" collapsed="false">
      <c r="A12" s="4" t="s">
        <v>14</v>
      </c>
      <c r="B12" s="4" t="s">
        <v>19</v>
      </c>
      <c r="C12" s="4" t="s">
        <v>250</v>
      </c>
      <c r="D12" s="4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2026-09-09T05:08:07Z</dcterms:created>
  <dc:creator>openpyxl</dc:creator>
  <dc:description/>
  <dc:language>en-US</dc:language>
  <cp:lastModifiedBy/>
  <dcterms:modified xsi:type="dcterms:W3CDTF">2026-09-09T10:41:27Z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